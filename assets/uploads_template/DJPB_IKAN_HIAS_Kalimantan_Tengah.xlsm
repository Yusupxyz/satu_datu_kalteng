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2" codeName="{7A2D7E96-6E34-419A-AE5F-296B3A7E7977}"/>
  <workbookPr codeName="ThisWorkbook" hidePivotFieldList="1"/>
  <bookViews>
    <workbookView xWindow="0" yWindow="465" windowWidth="20730" windowHeight="11760" firstSheet="1" activeTab="1"/>
  </bookViews>
  <sheets>
    <sheet name="0. Juknis" sheetId="12" r:id="rId1"/>
    <sheet name="1. Summary" sheetId="8" r:id="rId2"/>
    <sheet name="2. Isi Jumlah RTP" sheetId="2" r:id="rId3"/>
    <sheet name="3. Isi Produksi" sheetId="1" r:id="rId4"/>
    <sheet name="3. Isi Produksi (2)" sheetId="9" state="hidden" r:id="rId5"/>
    <sheet name="4. Isi Produksi Ikan" sheetId="10" r:id="rId6"/>
    <sheet name="5. Hasil Prod Ikan" sheetId="11" r:id="rId7"/>
    <sheet name="6. Isi Harga Ikan" sheetId="14" r:id="rId8"/>
    <sheet name="7. Nilai Prod Ikan" sheetId="15" r:id="rId9"/>
  </sheets>
  <definedNames>
    <definedName name="_xlnm._FilterDatabase" localSheetId="2" hidden="1">'2. Isi Jumlah RTP'!$A$3:$D$31</definedName>
    <definedName name="_xlnm._FilterDatabase" localSheetId="3" hidden="1">'3. Isi Produksi'!$A$3:$W$171</definedName>
    <definedName name="_xlnm._FilterDatabase" localSheetId="4" hidden="1">'3. Isi Produksi (2)'!$A$3:$I$171</definedName>
    <definedName name="_xlnm._FilterDatabase" localSheetId="5" hidden="1">'4. Isi Produksi Ikan'!$A$8:$AT$87</definedName>
    <definedName name="_xlnm._FilterDatabase" localSheetId="6" hidden="1">'5. Hasil Prod Ikan'!$A$8:$Q$87</definedName>
    <definedName name="_xlnm._FilterDatabase" localSheetId="7" hidden="1">'6. Isi Harga Ikan'!$A$8:$R$8</definedName>
    <definedName name="_xlnm._FilterDatabase" localSheetId="8" hidden="1">'7. Nilai Prod Ikan'!$A$8:$Q$37</definedName>
  </definedNames>
  <calcPr calcId="144525" concurrentCalc="0"/>
  <pivotCaches>
    <pivotCache cacheId="0" r:id="rId10"/>
    <pivotCache cacheId="1" r:id="rId11"/>
    <pivotCache cacheId="2" r:id="rId12"/>
    <pivotCache cacheId="3" r:id="rId13"/>
    <pivotCache cacheId="4" r:id="rId14"/>
  </pivotCaches>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O4" i="1" l="1"/>
  <c r="R4" i="1"/>
  <c r="AO87" i="10"/>
  <c r="AO86" i="10"/>
  <c r="AO85" i="10"/>
  <c r="AO84" i="10"/>
  <c r="AO83" i="10"/>
  <c r="AO82" i="10"/>
  <c r="AO81" i="10"/>
  <c r="AO80" i="10"/>
  <c r="AO79" i="10"/>
  <c r="AO78" i="10"/>
  <c r="AO77" i="10"/>
  <c r="AO76" i="10"/>
  <c r="AO75" i="10"/>
  <c r="AO74" i="10"/>
  <c r="AO73" i="10"/>
  <c r="AO72" i="10"/>
  <c r="AO71" i="10"/>
  <c r="AO70" i="10"/>
  <c r="AO69" i="10"/>
  <c r="AO68" i="10"/>
  <c r="AO67" i="10"/>
  <c r="AO66" i="10"/>
  <c r="AO65" i="10"/>
  <c r="AO64" i="10"/>
  <c r="AO63" i="10"/>
  <c r="AO62" i="10"/>
  <c r="AO61" i="10"/>
  <c r="AO60" i="10"/>
  <c r="AO59" i="10"/>
  <c r="AO58" i="10"/>
  <c r="AO57" i="10"/>
  <c r="AO56" i="10"/>
  <c r="AO55" i="10"/>
  <c r="AO54" i="10"/>
  <c r="AO53" i="10"/>
  <c r="AO52" i="10"/>
  <c r="AO51" i="10"/>
  <c r="AO50" i="10"/>
  <c r="AO49" i="10"/>
  <c r="AO48" i="10"/>
  <c r="AO47" i="10"/>
  <c r="AO46" i="10"/>
  <c r="AO45" i="10"/>
  <c r="AO44" i="10"/>
  <c r="AO43" i="10"/>
  <c r="AO42" i="10"/>
  <c r="AO41" i="10"/>
  <c r="AO40" i="10"/>
  <c r="AO39" i="10"/>
  <c r="AO38" i="10"/>
  <c r="AO37" i="10"/>
  <c r="AO36" i="10"/>
  <c r="AO35" i="10"/>
  <c r="AO34" i="10"/>
  <c r="AO33" i="10"/>
  <c r="AO32" i="10"/>
  <c r="AO31" i="10"/>
  <c r="AO30" i="10"/>
  <c r="AO29" i="10"/>
  <c r="AO28" i="10"/>
  <c r="AO27" i="10"/>
  <c r="AO26" i="10"/>
  <c r="AO25" i="10"/>
  <c r="AO24" i="10"/>
  <c r="AO23" i="10"/>
  <c r="AO22" i="10"/>
  <c r="AO21" i="10"/>
  <c r="AO20" i="10"/>
  <c r="AO19" i="10"/>
  <c r="AO18" i="10"/>
  <c r="AO17" i="10"/>
  <c r="AO16" i="10"/>
  <c r="AO15" i="10"/>
  <c r="AO14" i="10"/>
  <c r="AO13" i="10"/>
  <c r="AO12" i="10"/>
  <c r="AO11" i="10"/>
  <c r="AO10" i="10"/>
  <c r="AO9" i="10"/>
  <c r="AL87" i="10"/>
  <c r="AL86" i="10"/>
  <c r="AL85" i="10"/>
  <c r="AL84" i="10"/>
  <c r="AL83" i="10"/>
  <c r="AL82" i="10"/>
  <c r="AL81" i="10"/>
  <c r="AL80" i="10"/>
  <c r="AL79" i="10"/>
  <c r="AL78" i="10"/>
  <c r="AL77" i="10"/>
  <c r="AL76" i="10"/>
  <c r="AL75" i="10"/>
  <c r="AL74" i="10"/>
  <c r="AL73" i="10"/>
  <c r="AL72" i="10"/>
  <c r="AL71" i="10"/>
  <c r="AL70" i="10"/>
  <c r="AL69" i="10"/>
  <c r="AL68" i="10"/>
  <c r="AL67" i="10"/>
  <c r="AL66" i="10"/>
  <c r="AL65" i="10"/>
  <c r="AL64" i="10"/>
  <c r="AL63" i="10"/>
  <c r="AL62" i="10"/>
  <c r="AL61" i="10"/>
  <c r="AL60" i="10"/>
  <c r="AL59" i="10"/>
  <c r="AL58" i="10"/>
  <c r="AL57" i="10"/>
  <c r="AL56" i="10"/>
  <c r="AL55" i="10"/>
  <c r="AL54" i="10"/>
  <c r="AL53" i="10"/>
  <c r="AL52" i="10"/>
  <c r="AL51" i="10"/>
  <c r="AL50" i="10"/>
  <c r="AL49" i="10"/>
  <c r="AL48" i="10"/>
  <c r="AL47" i="10"/>
  <c r="AL46" i="10"/>
  <c r="AL45" i="10"/>
  <c r="AL44" i="10"/>
  <c r="AL43" i="10"/>
  <c r="AL42" i="10"/>
  <c r="AL41" i="10"/>
  <c r="AL40" i="10"/>
  <c r="AL39" i="10"/>
  <c r="AL38" i="10"/>
  <c r="AL37" i="10"/>
  <c r="AL36" i="10"/>
  <c r="AL35" i="10"/>
  <c r="AL34" i="10"/>
  <c r="AL33" i="10"/>
  <c r="AL32" i="10"/>
  <c r="AL31" i="10"/>
  <c r="AL30" i="10"/>
  <c r="AL29" i="10"/>
  <c r="AL28" i="10"/>
  <c r="AL27" i="10"/>
  <c r="AL26" i="10"/>
  <c r="AL25" i="10"/>
  <c r="AL24" i="10"/>
  <c r="AL23" i="10"/>
  <c r="AL22" i="10"/>
  <c r="AL21" i="10"/>
  <c r="AL20" i="10"/>
  <c r="AL19" i="10"/>
  <c r="AL18" i="10"/>
  <c r="AL17" i="10"/>
  <c r="AL16" i="10"/>
  <c r="AL15" i="10"/>
  <c r="AL14" i="10"/>
  <c r="AL13" i="10"/>
  <c r="AL12" i="10"/>
  <c r="AL11" i="10"/>
  <c r="AL10" i="10"/>
  <c r="AL9" i="10"/>
  <c r="AI87" i="10"/>
  <c r="AI86" i="10"/>
  <c r="AI85" i="10"/>
  <c r="AI84" i="10"/>
  <c r="AI83" i="10"/>
  <c r="AI82" i="10"/>
  <c r="AI81" i="10"/>
  <c r="AI80" i="10"/>
  <c r="AI79" i="10"/>
  <c r="AI78" i="10"/>
  <c r="AI77" i="10"/>
  <c r="AI76" i="10"/>
  <c r="AI75" i="10"/>
  <c r="AI74" i="10"/>
  <c r="AI73" i="10"/>
  <c r="AI72" i="10"/>
  <c r="AI71" i="10"/>
  <c r="AI70" i="10"/>
  <c r="AI69" i="10"/>
  <c r="AI68" i="10"/>
  <c r="AI67" i="10"/>
  <c r="AI66" i="10"/>
  <c r="AI65" i="10"/>
  <c r="AI64" i="10"/>
  <c r="AI63" i="10"/>
  <c r="AI62" i="10"/>
  <c r="AI61" i="10"/>
  <c r="AI60" i="10"/>
  <c r="AI59" i="10"/>
  <c r="AI58" i="10"/>
  <c r="AI57" i="10"/>
  <c r="AI56" i="10"/>
  <c r="AI55" i="10"/>
  <c r="AI54" i="10"/>
  <c r="AI53" i="10"/>
  <c r="AI52" i="10"/>
  <c r="AI51" i="10"/>
  <c r="AI50" i="10"/>
  <c r="AI49" i="10"/>
  <c r="AI48" i="10"/>
  <c r="AI47" i="10"/>
  <c r="AI46" i="10"/>
  <c r="AI45" i="10"/>
  <c r="AI44" i="10"/>
  <c r="AI43" i="10"/>
  <c r="AI42" i="10"/>
  <c r="AI41" i="10"/>
  <c r="AI40" i="10"/>
  <c r="AI39" i="10"/>
  <c r="AI38" i="10"/>
  <c r="AI37" i="10"/>
  <c r="AI36" i="10"/>
  <c r="AI35" i="10"/>
  <c r="AI34" i="10"/>
  <c r="AI33" i="10"/>
  <c r="AI32" i="10"/>
  <c r="AI31" i="10"/>
  <c r="AI30" i="10"/>
  <c r="AI29" i="10"/>
  <c r="AI28" i="10"/>
  <c r="AI27" i="10"/>
  <c r="AI26" i="10"/>
  <c r="AI25" i="10"/>
  <c r="AI24" i="10"/>
  <c r="AI23" i="10"/>
  <c r="AI22" i="10"/>
  <c r="AI21" i="10"/>
  <c r="AI20" i="10"/>
  <c r="AI19" i="10"/>
  <c r="AI18" i="10"/>
  <c r="AI17" i="10"/>
  <c r="AI16" i="10"/>
  <c r="AI15" i="10"/>
  <c r="AI14" i="10"/>
  <c r="AI13" i="10"/>
  <c r="AI12" i="10"/>
  <c r="AI11" i="10"/>
  <c r="AI10" i="10"/>
  <c r="AI9" i="10"/>
  <c r="AF87" i="10"/>
  <c r="AF86" i="10"/>
  <c r="AF85" i="10"/>
  <c r="AF84" i="10"/>
  <c r="AF83" i="10"/>
  <c r="AF82" i="10"/>
  <c r="AF81" i="10"/>
  <c r="AF80" i="10"/>
  <c r="AF79" i="10"/>
  <c r="AF78" i="10"/>
  <c r="AF77" i="10"/>
  <c r="AF76" i="10"/>
  <c r="AF75" i="10"/>
  <c r="AF74" i="10"/>
  <c r="AF73" i="10"/>
  <c r="AF72" i="10"/>
  <c r="AF71" i="10"/>
  <c r="AF70" i="10"/>
  <c r="AF69" i="10"/>
  <c r="AF68" i="10"/>
  <c r="AF67" i="10"/>
  <c r="AF66" i="10"/>
  <c r="AF65" i="10"/>
  <c r="AF64" i="10"/>
  <c r="AF63" i="10"/>
  <c r="AF62" i="10"/>
  <c r="AF61" i="10"/>
  <c r="AF60" i="10"/>
  <c r="AF59" i="10"/>
  <c r="AF58" i="10"/>
  <c r="AF57" i="10"/>
  <c r="AF56" i="10"/>
  <c r="AF55" i="10"/>
  <c r="AF54" i="10"/>
  <c r="AF53" i="10"/>
  <c r="AF52" i="10"/>
  <c r="AF51" i="10"/>
  <c r="AF50" i="10"/>
  <c r="AF49" i="10"/>
  <c r="AF48" i="10"/>
  <c r="AF47" i="10"/>
  <c r="AF46" i="10"/>
  <c r="AF45" i="10"/>
  <c r="AF44" i="10"/>
  <c r="AF43" i="10"/>
  <c r="AF42" i="10"/>
  <c r="AF41" i="10"/>
  <c r="AF40" i="10"/>
  <c r="AF39" i="10"/>
  <c r="AF38" i="10"/>
  <c r="AF37" i="10"/>
  <c r="AF36" i="10"/>
  <c r="AF35" i="10"/>
  <c r="AF34" i="10"/>
  <c r="AF33" i="10"/>
  <c r="AF32" i="10"/>
  <c r="AF31" i="10"/>
  <c r="AF30" i="10"/>
  <c r="AF29" i="10"/>
  <c r="AF28" i="10"/>
  <c r="AF27" i="10"/>
  <c r="AF26" i="10"/>
  <c r="AF25" i="10"/>
  <c r="AF24" i="10"/>
  <c r="AF23" i="10"/>
  <c r="AF22" i="10"/>
  <c r="AF21" i="10"/>
  <c r="AF20" i="10"/>
  <c r="AF19" i="10"/>
  <c r="AF18" i="10"/>
  <c r="AF17" i="10"/>
  <c r="AF16" i="10"/>
  <c r="AF15" i="10"/>
  <c r="AF14" i="10"/>
  <c r="AF13" i="10"/>
  <c r="AF12" i="10"/>
  <c r="AF11" i="10"/>
  <c r="AF10" i="10"/>
  <c r="AF9" i="10"/>
  <c r="AC87" i="10"/>
  <c r="AC86" i="10"/>
  <c r="AC85" i="10"/>
  <c r="AC84" i="10"/>
  <c r="AC83" i="10"/>
  <c r="AC82" i="10"/>
  <c r="AC81" i="10"/>
  <c r="AC80" i="10"/>
  <c r="AC79" i="10"/>
  <c r="AC78" i="10"/>
  <c r="AC77" i="10"/>
  <c r="AC76" i="10"/>
  <c r="AC75" i="10"/>
  <c r="AC74" i="10"/>
  <c r="AC73" i="10"/>
  <c r="AC72" i="10"/>
  <c r="AC71" i="10"/>
  <c r="AC70" i="10"/>
  <c r="AC69" i="10"/>
  <c r="AC68" i="10"/>
  <c r="AC67" i="10"/>
  <c r="AC66" i="10"/>
  <c r="AC65" i="10"/>
  <c r="AC64" i="10"/>
  <c r="AC63" i="10"/>
  <c r="AC62" i="10"/>
  <c r="AC61" i="10"/>
  <c r="AC60" i="10"/>
  <c r="AC59" i="10"/>
  <c r="AC58" i="10"/>
  <c r="AC57" i="10"/>
  <c r="AC56" i="10"/>
  <c r="AC55" i="10"/>
  <c r="AC54" i="10"/>
  <c r="AC53" i="10"/>
  <c r="AC52" i="10"/>
  <c r="AC51" i="10"/>
  <c r="AC50" i="10"/>
  <c r="AC49" i="10"/>
  <c r="AC48" i="10"/>
  <c r="AC47" i="10"/>
  <c r="AC46" i="10"/>
  <c r="AC45" i="10"/>
  <c r="AC44" i="10"/>
  <c r="AC43" i="10"/>
  <c r="AC42" i="10"/>
  <c r="AC41" i="10"/>
  <c r="AC40" i="10"/>
  <c r="AC39" i="10"/>
  <c r="AC38" i="10"/>
  <c r="AC37" i="10"/>
  <c r="AC36" i="10"/>
  <c r="AC35" i="10"/>
  <c r="AC34" i="10"/>
  <c r="AC33" i="10"/>
  <c r="AC32" i="10"/>
  <c r="AC31" i="10"/>
  <c r="AC30" i="10"/>
  <c r="AC29" i="10"/>
  <c r="AC28" i="10"/>
  <c r="AC27" i="10"/>
  <c r="AC26" i="10"/>
  <c r="AC25" i="10"/>
  <c r="AC24" i="10"/>
  <c r="AC23" i="10"/>
  <c r="AC22" i="10"/>
  <c r="AC21" i="10"/>
  <c r="AC20" i="10"/>
  <c r="AC19" i="10"/>
  <c r="AC18" i="10"/>
  <c r="AC17" i="10"/>
  <c r="AC16" i="10"/>
  <c r="AC15" i="10"/>
  <c r="AC14" i="10"/>
  <c r="AC13" i="10"/>
  <c r="AC12" i="10"/>
  <c r="AC11" i="10"/>
  <c r="AC10" i="10"/>
  <c r="AC9" i="10"/>
  <c r="Z87" i="10"/>
  <c r="Z86" i="10"/>
  <c r="Z85" i="10"/>
  <c r="Z84" i="10"/>
  <c r="Z83" i="10"/>
  <c r="Z82" i="10"/>
  <c r="Z81" i="10"/>
  <c r="Z80" i="10"/>
  <c r="Z79" i="10"/>
  <c r="Z78" i="10"/>
  <c r="Z77" i="10"/>
  <c r="Z76" i="10"/>
  <c r="Z75" i="10"/>
  <c r="Z74" i="10"/>
  <c r="Z73" i="10"/>
  <c r="Z72" i="10"/>
  <c r="Z71" i="10"/>
  <c r="Z70" i="10"/>
  <c r="Z69" i="10"/>
  <c r="Z68" i="10"/>
  <c r="Z67" i="10"/>
  <c r="Z66" i="10"/>
  <c r="Z65" i="10"/>
  <c r="Z64" i="10"/>
  <c r="Z63" i="10"/>
  <c r="Z62" i="10"/>
  <c r="Z61" i="10"/>
  <c r="Z60" i="10"/>
  <c r="Z59" i="10"/>
  <c r="Z58" i="10"/>
  <c r="Z57" i="10"/>
  <c r="Z56" i="10"/>
  <c r="Z55" i="10"/>
  <c r="Z54" i="10"/>
  <c r="Z53" i="10"/>
  <c r="Z52" i="10"/>
  <c r="Z51" i="10"/>
  <c r="Z50" i="10"/>
  <c r="Z49" i="10"/>
  <c r="Z48" i="10"/>
  <c r="Z47" i="10"/>
  <c r="Z46" i="10"/>
  <c r="Z45" i="10"/>
  <c r="Z44" i="10"/>
  <c r="Z43" i="10"/>
  <c r="Z42" i="10"/>
  <c r="Z41" i="10"/>
  <c r="Z40" i="10"/>
  <c r="Z39" i="10"/>
  <c r="Z38" i="10"/>
  <c r="Z37" i="10"/>
  <c r="Z36" i="10"/>
  <c r="Z35" i="10"/>
  <c r="Z34" i="10"/>
  <c r="Z33" i="10"/>
  <c r="Z32" i="10"/>
  <c r="Z31" i="10"/>
  <c r="Z30" i="10"/>
  <c r="Z29" i="10"/>
  <c r="Z28" i="10"/>
  <c r="Z27" i="10"/>
  <c r="Z26" i="10"/>
  <c r="Z25" i="10"/>
  <c r="Z24" i="10"/>
  <c r="Z23" i="10"/>
  <c r="Z22" i="10"/>
  <c r="Z21" i="10"/>
  <c r="Z20" i="10"/>
  <c r="Z19" i="10"/>
  <c r="Z18" i="10"/>
  <c r="Z17" i="10"/>
  <c r="Z16" i="10"/>
  <c r="Z15" i="10"/>
  <c r="Z14" i="10"/>
  <c r="Z13" i="10"/>
  <c r="Z12" i="10"/>
  <c r="Z11" i="10"/>
  <c r="Z10" i="10"/>
  <c r="Z9" i="10"/>
  <c r="W87" i="10"/>
  <c r="W86" i="10"/>
  <c r="W85" i="10"/>
  <c r="W84" i="10"/>
  <c r="W83" i="10"/>
  <c r="W82" i="10"/>
  <c r="W81" i="10"/>
  <c r="W80" i="10"/>
  <c r="W79" i="10"/>
  <c r="W78" i="10"/>
  <c r="W77" i="10"/>
  <c r="W76" i="10"/>
  <c r="W75" i="10"/>
  <c r="W74" i="10"/>
  <c r="W73" i="10"/>
  <c r="W72" i="10"/>
  <c r="W71" i="10"/>
  <c r="W70" i="10"/>
  <c r="W69" i="10"/>
  <c r="W68" i="10"/>
  <c r="W67" i="10"/>
  <c r="W66" i="10"/>
  <c r="W65" i="10"/>
  <c r="W64" i="10"/>
  <c r="W63" i="10"/>
  <c r="W62" i="10"/>
  <c r="W61" i="10"/>
  <c r="W60" i="10"/>
  <c r="W59" i="10"/>
  <c r="W58" i="10"/>
  <c r="W57" i="10"/>
  <c r="W56" i="10"/>
  <c r="W55" i="10"/>
  <c r="W54" i="10"/>
  <c r="W53" i="10"/>
  <c r="W52" i="10"/>
  <c r="W51" i="10"/>
  <c r="W50" i="10"/>
  <c r="W49" i="10"/>
  <c r="W48" i="10"/>
  <c r="W47" i="10"/>
  <c r="W46" i="10"/>
  <c r="W45" i="10"/>
  <c r="W44" i="10"/>
  <c r="W43" i="10"/>
  <c r="W42" i="10"/>
  <c r="W41" i="10"/>
  <c r="W40" i="10"/>
  <c r="W39" i="10"/>
  <c r="W38" i="10"/>
  <c r="W37" i="10"/>
  <c r="W36" i="10"/>
  <c r="W35" i="10"/>
  <c r="W34" i="10"/>
  <c r="W33" i="10"/>
  <c r="W32" i="10"/>
  <c r="W31" i="10"/>
  <c r="W30" i="10"/>
  <c r="W29" i="10"/>
  <c r="W28" i="10"/>
  <c r="W27" i="10"/>
  <c r="W26" i="10"/>
  <c r="W25" i="10"/>
  <c r="W24" i="10"/>
  <c r="W23" i="10"/>
  <c r="W22" i="10"/>
  <c r="W21" i="10"/>
  <c r="W20" i="10"/>
  <c r="W19" i="10"/>
  <c r="W18" i="10"/>
  <c r="W17" i="10"/>
  <c r="W16" i="10"/>
  <c r="W15" i="10"/>
  <c r="W14" i="10"/>
  <c r="W13" i="10"/>
  <c r="W12" i="10"/>
  <c r="W11" i="10"/>
  <c r="W10" i="10"/>
  <c r="W9" i="10"/>
  <c r="T87" i="10"/>
  <c r="T86" i="10"/>
  <c r="T85" i="10"/>
  <c r="T84" i="10"/>
  <c r="T83" i="10"/>
  <c r="T82" i="10"/>
  <c r="T81" i="10"/>
  <c r="T80" i="10"/>
  <c r="T79" i="10"/>
  <c r="T78" i="10"/>
  <c r="T77" i="10"/>
  <c r="T76" i="10"/>
  <c r="T75" i="10"/>
  <c r="T74" i="10"/>
  <c r="T73" i="10"/>
  <c r="T72" i="10"/>
  <c r="T71" i="10"/>
  <c r="T70" i="10"/>
  <c r="T69" i="10"/>
  <c r="T68" i="10"/>
  <c r="T67" i="10"/>
  <c r="T66" i="10"/>
  <c r="T65" i="10"/>
  <c r="T64" i="10"/>
  <c r="T63" i="10"/>
  <c r="T62" i="10"/>
  <c r="T61" i="10"/>
  <c r="T60" i="10"/>
  <c r="T59" i="10"/>
  <c r="T58" i="10"/>
  <c r="T57" i="10"/>
  <c r="T56" i="10"/>
  <c r="T55" i="10"/>
  <c r="T54" i="10"/>
  <c r="T53" i="10"/>
  <c r="T52" i="10"/>
  <c r="T51" i="10"/>
  <c r="T50" i="10"/>
  <c r="T49" i="10"/>
  <c r="T48" i="10"/>
  <c r="T47" i="10"/>
  <c r="T46" i="10"/>
  <c r="T45" i="10"/>
  <c r="T44" i="10"/>
  <c r="T43" i="10"/>
  <c r="T42" i="10"/>
  <c r="T41" i="10"/>
  <c r="T40" i="10"/>
  <c r="T39" i="10"/>
  <c r="T38" i="10"/>
  <c r="T37" i="10"/>
  <c r="T36" i="10"/>
  <c r="T35" i="10"/>
  <c r="T34" i="10"/>
  <c r="T33" i="10"/>
  <c r="T32" i="10"/>
  <c r="T31" i="10"/>
  <c r="T30" i="10"/>
  <c r="T29" i="10"/>
  <c r="T28" i="10"/>
  <c r="T27" i="10"/>
  <c r="T26" i="10"/>
  <c r="T25" i="10"/>
  <c r="T24" i="10"/>
  <c r="T23" i="10"/>
  <c r="T22" i="10"/>
  <c r="T21" i="10"/>
  <c r="T20" i="10"/>
  <c r="T19" i="10"/>
  <c r="T18" i="10"/>
  <c r="T17" i="10"/>
  <c r="T16" i="10"/>
  <c r="T15" i="10"/>
  <c r="T14" i="10"/>
  <c r="T13" i="10"/>
  <c r="T12" i="10"/>
  <c r="T11" i="10"/>
  <c r="T10" i="10"/>
  <c r="T9" i="10"/>
  <c r="Q87" i="10"/>
  <c r="Q86" i="10"/>
  <c r="Q85" i="10"/>
  <c r="Q84" i="10"/>
  <c r="Q83" i="10"/>
  <c r="Q82" i="10"/>
  <c r="Q81" i="10"/>
  <c r="Q80" i="10"/>
  <c r="Q79" i="10"/>
  <c r="Q78" i="10"/>
  <c r="Q77" i="10"/>
  <c r="Q76" i="10"/>
  <c r="Q75" i="10"/>
  <c r="Q74" i="10"/>
  <c r="Q73" i="10"/>
  <c r="Q72" i="10"/>
  <c r="Q71" i="10"/>
  <c r="Q70" i="10"/>
  <c r="Q69" i="10"/>
  <c r="Q68" i="10"/>
  <c r="Q67" i="10"/>
  <c r="Q66" i="10"/>
  <c r="Q65" i="10"/>
  <c r="Q64" i="10"/>
  <c r="Q63" i="10"/>
  <c r="Q62" i="10"/>
  <c r="Q61" i="10"/>
  <c r="Q60" i="10"/>
  <c r="Q59" i="10"/>
  <c r="Q58" i="10"/>
  <c r="Q57" i="10"/>
  <c r="Q56" i="10"/>
  <c r="Q55" i="10"/>
  <c r="Q54" i="10"/>
  <c r="Q53" i="10"/>
  <c r="Q52" i="10"/>
  <c r="Q51" i="10"/>
  <c r="Q50" i="10"/>
  <c r="Q49" i="10"/>
  <c r="Q48" i="10"/>
  <c r="Q47" i="10"/>
  <c r="Q46" i="10"/>
  <c r="Q45" i="10"/>
  <c r="Q44" i="10"/>
  <c r="Q43" i="10"/>
  <c r="Q42" i="10"/>
  <c r="Q41" i="10"/>
  <c r="Q40" i="10"/>
  <c r="Q39" i="10"/>
  <c r="Q38" i="10"/>
  <c r="Q37" i="10"/>
  <c r="Q36" i="10"/>
  <c r="Q35" i="10"/>
  <c r="Q34" i="10"/>
  <c r="Q33" i="10"/>
  <c r="Q32" i="10"/>
  <c r="Q31" i="10"/>
  <c r="Q30" i="10"/>
  <c r="Q29" i="10"/>
  <c r="Q28" i="10"/>
  <c r="Q27" i="10"/>
  <c r="Q26" i="10"/>
  <c r="Q25" i="10"/>
  <c r="Q24" i="10"/>
  <c r="Q23" i="10"/>
  <c r="Q22" i="10"/>
  <c r="Q21" i="10"/>
  <c r="Q20" i="10"/>
  <c r="Q19" i="10"/>
  <c r="Q18" i="10"/>
  <c r="Q17" i="10"/>
  <c r="Q16" i="10"/>
  <c r="Q15" i="10"/>
  <c r="Q14" i="10"/>
  <c r="Q13" i="10"/>
  <c r="Q12" i="10"/>
  <c r="Q11" i="10"/>
  <c r="Q10" i="10"/>
  <c r="Q9"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20" i="10"/>
  <c r="N19" i="10"/>
  <c r="N18" i="10"/>
  <c r="N17" i="10"/>
  <c r="N16" i="10"/>
  <c r="N15" i="10"/>
  <c r="N14" i="10"/>
  <c r="N13" i="10"/>
  <c r="N12" i="10"/>
  <c r="N11" i="10"/>
  <c r="N10" i="10"/>
  <c r="N9"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20" i="10"/>
  <c r="K19" i="10"/>
  <c r="K18" i="10"/>
  <c r="K17" i="10"/>
  <c r="K16" i="10"/>
  <c r="K15" i="10"/>
  <c r="K14" i="10"/>
  <c r="K13" i="10"/>
  <c r="K12" i="10"/>
  <c r="K11" i="10"/>
  <c r="K10" i="10"/>
  <c r="K9" i="10"/>
  <c r="H87" i="10"/>
  <c r="H86" i="10"/>
  <c r="H85" i="10"/>
  <c r="H84" i="10"/>
  <c r="H83" i="10"/>
  <c r="H82" i="10"/>
  <c r="H81" i="10"/>
  <c r="H80" i="10"/>
  <c r="H79" i="10"/>
  <c r="H78" i="10"/>
  <c r="H77" i="10"/>
  <c r="H76" i="10"/>
  <c r="H75" i="10"/>
  <c r="H74" i="10"/>
  <c r="H73" i="10"/>
  <c r="H72" i="10"/>
  <c r="H71" i="10"/>
  <c r="H70" i="10"/>
  <c r="H69" i="10"/>
  <c r="H68" i="10"/>
  <c r="H67" i="10"/>
  <c r="H66" i="10"/>
  <c r="H65" i="10"/>
  <c r="H64" i="10"/>
  <c r="H63" i="10"/>
  <c r="H62" i="10"/>
  <c r="H61" i="10"/>
  <c r="H60" i="10"/>
  <c r="H59" i="10"/>
  <c r="H58" i="10"/>
  <c r="H57" i="10"/>
  <c r="H56" i="10"/>
  <c r="H55" i="10"/>
  <c r="H54" i="10"/>
  <c r="H53" i="10"/>
  <c r="H52" i="10"/>
  <c r="H51" i="10"/>
  <c r="H50" i="10"/>
  <c r="H49" i="10"/>
  <c r="H48" i="10"/>
  <c r="H47" i="10"/>
  <c r="H46" i="10"/>
  <c r="H45" i="10"/>
  <c r="H44" i="10"/>
  <c r="H43" i="10"/>
  <c r="H42" i="10"/>
  <c r="H41" i="10"/>
  <c r="H40" i="10"/>
  <c r="H39" i="10"/>
  <c r="H38" i="10"/>
  <c r="H37" i="10"/>
  <c r="H36" i="10"/>
  <c r="H35" i="10"/>
  <c r="H34" i="10"/>
  <c r="H33" i="10"/>
  <c r="H32" i="10"/>
  <c r="H31" i="10"/>
  <c r="H30" i="10"/>
  <c r="H29" i="10"/>
  <c r="H28" i="10"/>
  <c r="H27" i="10"/>
  <c r="H26" i="10"/>
  <c r="H25" i="10"/>
  <c r="H24" i="10"/>
  <c r="H23" i="10"/>
  <c r="H22" i="10"/>
  <c r="H21" i="10"/>
  <c r="H20" i="10"/>
  <c r="H19" i="10"/>
  <c r="H18" i="10"/>
  <c r="H17" i="10"/>
  <c r="H16" i="10"/>
  <c r="H15" i="10"/>
  <c r="H14" i="10"/>
  <c r="H13" i="10"/>
  <c r="H12" i="10"/>
  <c r="H11" i="10"/>
  <c r="H10" i="10"/>
  <c r="H9"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O5" i="1"/>
  <c r="R5" i="1"/>
  <c r="P5" i="1"/>
  <c r="S5" i="1"/>
  <c r="T5" i="1"/>
  <c r="W5" i="1"/>
  <c r="O6" i="1"/>
  <c r="R6" i="1"/>
  <c r="P6" i="1"/>
  <c r="S6" i="1"/>
  <c r="T6" i="1"/>
  <c r="W6" i="1"/>
  <c r="O7" i="1"/>
  <c r="R7" i="1"/>
  <c r="P7" i="1"/>
  <c r="S7" i="1"/>
  <c r="T7" i="1"/>
  <c r="W7" i="1"/>
  <c r="O8" i="1"/>
  <c r="R8" i="1"/>
  <c r="P8" i="1"/>
  <c r="S8" i="1"/>
  <c r="T8" i="1"/>
  <c r="W8" i="1"/>
  <c r="O9" i="1"/>
  <c r="R9" i="1"/>
  <c r="P9" i="1"/>
  <c r="S9" i="1"/>
  <c r="T9" i="1"/>
  <c r="W9" i="1"/>
  <c r="O10" i="1"/>
  <c r="R10" i="1"/>
  <c r="P10" i="1"/>
  <c r="S10" i="1"/>
  <c r="T10" i="1"/>
  <c r="W10" i="1"/>
  <c r="O11" i="1"/>
  <c r="R11" i="1"/>
  <c r="P11" i="1"/>
  <c r="S11" i="1"/>
  <c r="T11" i="1"/>
  <c r="W11" i="1"/>
  <c r="O12" i="1"/>
  <c r="R12" i="1"/>
  <c r="P12" i="1"/>
  <c r="S12" i="1"/>
  <c r="T12" i="1"/>
  <c r="W12" i="1"/>
  <c r="O13" i="1"/>
  <c r="R13" i="1"/>
  <c r="P13" i="1"/>
  <c r="S13" i="1"/>
  <c r="T13" i="1"/>
  <c r="W13" i="1"/>
  <c r="O14" i="1"/>
  <c r="R14" i="1"/>
  <c r="P14" i="1"/>
  <c r="S14" i="1"/>
  <c r="T14" i="1"/>
  <c r="W14" i="1"/>
  <c r="O15" i="1"/>
  <c r="R15" i="1"/>
  <c r="P15" i="1"/>
  <c r="S15" i="1"/>
  <c r="T15" i="1"/>
  <c r="W15" i="1"/>
  <c r="O16" i="1"/>
  <c r="R16" i="1"/>
  <c r="P16" i="1"/>
  <c r="S16" i="1"/>
  <c r="T16" i="1"/>
  <c r="W16" i="1"/>
  <c r="O17" i="1"/>
  <c r="R17" i="1"/>
  <c r="P17" i="1"/>
  <c r="S17" i="1"/>
  <c r="T17" i="1"/>
  <c r="W17" i="1"/>
  <c r="O18" i="1"/>
  <c r="R18" i="1"/>
  <c r="P18" i="1"/>
  <c r="S18" i="1"/>
  <c r="T18" i="1"/>
  <c r="W18" i="1"/>
  <c r="O19" i="1"/>
  <c r="R19" i="1"/>
  <c r="P19" i="1"/>
  <c r="S19" i="1"/>
  <c r="T19" i="1"/>
  <c r="W19" i="1"/>
  <c r="O20" i="1"/>
  <c r="R20" i="1"/>
  <c r="P20" i="1"/>
  <c r="S20" i="1"/>
  <c r="T20" i="1"/>
  <c r="W20" i="1"/>
  <c r="O21" i="1"/>
  <c r="R21" i="1"/>
  <c r="P21" i="1"/>
  <c r="S21" i="1"/>
  <c r="T21" i="1"/>
  <c r="W21" i="1"/>
  <c r="O22" i="1"/>
  <c r="R22" i="1"/>
  <c r="P22" i="1"/>
  <c r="S22" i="1"/>
  <c r="T22" i="1"/>
  <c r="W22" i="1"/>
  <c r="O23" i="1"/>
  <c r="R23" i="1"/>
  <c r="P23" i="1"/>
  <c r="S23" i="1"/>
  <c r="T23" i="1"/>
  <c r="W23" i="1"/>
  <c r="O24" i="1"/>
  <c r="R24" i="1"/>
  <c r="P24" i="1"/>
  <c r="S24" i="1"/>
  <c r="T24" i="1"/>
  <c r="W24" i="1"/>
  <c r="O25" i="1"/>
  <c r="R25" i="1"/>
  <c r="P25" i="1"/>
  <c r="S25" i="1"/>
  <c r="T25" i="1"/>
  <c r="W25" i="1"/>
  <c r="O26" i="1"/>
  <c r="R26" i="1"/>
  <c r="P26" i="1"/>
  <c r="S26" i="1"/>
  <c r="T26" i="1"/>
  <c r="W26" i="1"/>
  <c r="O27" i="1"/>
  <c r="R27" i="1"/>
  <c r="P27" i="1"/>
  <c r="S27" i="1"/>
  <c r="T27" i="1"/>
  <c r="W27" i="1"/>
  <c r="O28" i="1"/>
  <c r="R28" i="1"/>
  <c r="P28" i="1"/>
  <c r="S28" i="1"/>
  <c r="T28" i="1"/>
  <c r="W28" i="1"/>
  <c r="O29" i="1"/>
  <c r="R29" i="1"/>
  <c r="P29" i="1"/>
  <c r="S29" i="1"/>
  <c r="T29" i="1"/>
  <c r="W29" i="1"/>
  <c r="O30" i="1"/>
  <c r="R30" i="1"/>
  <c r="P30" i="1"/>
  <c r="S30" i="1"/>
  <c r="T30" i="1"/>
  <c r="W30" i="1"/>
  <c r="O31" i="1"/>
  <c r="R31" i="1"/>
  <c r="P31" i="1"/>
  <c r="S31" i="1"/>
  <c r="T31" i="1"/>
  <c r="W31" i="1"/>
  <c r="O32" i="1"/>
  <c r="R32" i="1"/>
  <c r="P32" i="1"/>
  <c r="S32" i="1"/>
  <c r="T32" i="1"/>
  <c r="W32" i="1"/>
  <c r="O33" i="1"/>
  <c r="R33" i="1"/>
  <c r="P33" i="1"/>
  <c r="S33" i="1"/>
  <c r="T33" i="1"/>
  <c r="W33" i="1"/>
  <c r="O34" i="1"/>
  <c r="R34" i="1"/>
  <c r="P34" i="1"/>
  <c r="S34" i="1"/>
  <c r="T34" i="1"/>
  <c r="W34" i="1"/>
  <c r="O35" i="1"/>
  <c r="R35" i="1"/>
  <c r="P35" i="1"/>
  <c r="S35" i="1"/>
  <c r="T35" i="1"/>
  <c r="W35" i="1"/>
  <c r="O36" i="1"/>
  <c r="R36" i="1"/>
  <c r="P36" i="1"/>
  <c r="S36" i="1"/>
  <c r="T36" i="1"/>
  <c r="W36" i="1"/>
  <c r="O37" i="1"/>
  <c r="R37" i="1"/>
  <c r="P37" i="1"/>
  <c r="S37" i="1"/>
  <c r="T37" i="1"/>
  <c r="W37" i="1"/>
  <c r="O38" i="1"/>
  <c r="R38" i="1"/>
  <c r="P38" i="1"/>
  <c r="S38" i="1"/>
  <c r="T38" i="1"/>
  <c r="W38" i="1"/>
  <c r="O39" i="1"/>
  <c r="R39" i="1"/>
  <c r="P39" i="1"/>
  <c r="S39" i="1"/>
  <c r="T39" i="1"/>
  <c r="W39" i="1"/>
  <c r="O40" i="1"/>
  <c r="R40" i="1"/>
  <c r="P40" i="1"/>
  <c r="S40" i="1"/>
  <c r="T40" i="1"/>
  <c r="W40" i="1"/>
  <c r="O41" i="1"/>
  <c r="R41" i="1"/>
  <c r="P41" i="1"/>
  <c r="S41" i="1"/>
  <c r="T41" i="1"/>
  <c r="W41" i="1"/>
  <c r="O42" i="1"/>
  <c r="R42" i="1"/>
  <c r="P42" i="1"/>
  <c r="S42" i="1"/>
  <c r="T42" i="1"/>
  <c r="W42" i="1"/>
  <c r="O43" i="1"/>
  <c r="R43" i="1"/>
  <c r="P43" i="1"/>
  <c r="S43" i="1"/>
  <c r="T43" i="1"/>
  <c r="W43" i="1"/>
  <c r="O44" i="1"/>
  <c r="R44" i="1"/>
  <c r="P44" i="1"/>
  <c r="S44" i="1"/>
  <c r="T44" i="1"/>
  <c r="W44" i="1"/>
  <c r="O45" i="1"/>
  <c r="R45" i="1"/>
  <c r="P45" i="1"/>
  <c r="S45" i="1"/>
  <c r="T45" i="1"/>
  <c r="W45" i="1"/>
  <c r="O46" i="1"/>
  <c r="R46" i="1"/>
  <c r="P46" i="1"/>
  <c r="S46" i="1"/>
  <c r="T46" i="1"/>
  <c r="W46" i="1"/>
  <c r="O47" i="1"/>
  <c r="R47" i="1"/>
  <c r="P47" i="1"/>
  <c r="S47" i="1"/>
  <c r="T47" i="1"/>
  <c r="W47" i="1"/>
  <c r="O48" i="1"/>
  <c r="R48" i="1"/>
  <c r="P48" i="1"/>
  <c r="S48" i="1"/>
  <c r="T48" i="1"/>
  <c r="W48" i="1"/>
  <c r="O49" i="1"/>
  <c r="R49" i="1"/>
  <c r="P49" i="1"/>
  <c r="S49" i="1"/>
  <c r="T49" i="1"/>
  <c r="W49" i="1"/>
  <c r="O50" i="1"/>
  <c r="R50" i="1"/>
  <c r="P50" i="1"/>
  <c r="S50" i="1"/>
  <c r="T50" i="1"/>
  <c r="W50" i="1"/>
  <c r="O51" i="1"/>
  <c r="R51" i="1"/>
  <c r="P51" i="1"/>
  <c r="S51" i="1"/>
  <c r="T51" i="1"/>
  <c r="W51" i="1"/>
  <c r="O52" i="1"/>
  <c r="R52" i="1"/>
  <c r="P52" i="1"/>
  <c r="S52" i="1"/>
  <c r="T52" i="1"/>
  <c r="W52" i="1"/>
  <c r="O53" i="1"/>
  <c r="R53" i="1"/>
  <c r="P53" i="1"/>
  <c r="S53" i="1"/>
  <c r="T53" i="1"/>
  <c r="W53" i="1"/>
  <c r="O54" i="1"/>
  <c r="R54" i="1"/>
  <c r="P54" i="1"/>
  <c r="S54" i="1"/>
  <c r="T54" i="1"/>
  <c r="W54" i="1"/>
  <c r="O55" i="1"/>
  <c r="R55" i="1"/>
  <c r="P55" i="1"/>
  <c r="S55" i="1"/>
  <c r="T55" i="1"/>
  <c r="W55" i="1"/>
  <c r="O56" i="1"/>
  <c r="R56" i="1"/>
  <c r="P56" i="1"/>
  <c r="S56" i="1"/>
  <c r="T56" i="1"/>
  <c r="W56" i="1"/>
  <c r="O57" i="1"/>
  <c r="R57" i="1"/>
  <c r="P57" i="1"/>
  <c r="S57" i="1"/>
  <c r="T57" i="1"/>
  <c r="W57" i="1"/>
  <c r="O58" i="1"/>
  <c r="R58" i="1"/>
  <c r="P58" i="1"/>
  <c r="S58" i="1"/>
  <c r="T58" i="1"/>
  <c r="W58" i="1"/>
  <c r="O59" i="1"/>
  <c r="R59" i="1"/>
  <c r="P59" i="1"/>
  <c r="S59" i="1"/>
  <c r="T59" i="1"/>
  <c r="W59" i="1"/>
  <c r="O60" i="1"/>
  <c r="R60" i="1"/>
  <c r="P60" i="1"/>
  <c r="S60" i="1"/>
  <c r="T60" i="1"/>
  <c r="W60" i="1"/>
  <c r="O61" i="1"/>
  <c r="R61" i="1"/>
  <c r="P61" i="1"/>
  <c r="S61" i="1"/>
  <c r="T61" i="1"/>
  <c r="W61" i="1"/>
  <c r="O62" i="1"/>
  <c r="R62" i="1"/>
  <c r="P62" i="1"/>
  <c r="S62" i="1"/>
  <c r="T62" i="1"/>
  <c r="W62" i="1"/>
  <c r="O63" i="1"/>
  <c r="R63" i="1"/>
  <c r="P63" i="1"/>
  <c r="S63" i="1"/>
  <c r="T63" i="1"/>
  <c r="W63" i="1"/>
  <c r="O64" i="1"/>
  <c r="R64" i="1"/>
  <c r="P64" i="1"/>
  <c r="S64" i="1"/>
  <c r="T64" i="1"/>
  <c r="W64" i="1"/>
  <c r="O65" i="1"/>
  <c r="R65" i="1"/>
  <c r="P65" i="1"/>
  <c r="S65" i="1"/>
  <c r="T65" i="1"/>
  <c r="W65" i="1"/>
  <c r="O66" i="1"/>
  <c r="R66" i="1"/>
  <c r="P66" i="1"/>
  <c r="S66" i="1"/>
  <c r="T66" i="1"/>
  <c r="W66" i="1"/>
  <c r="O67" i="1"/>
  <c r="R67" i="1"/>
  <c r="P67" i="1"/>
  <c r="S67" i="1"/>
  <c r="T67" i="1"/>
  <c r="W67" i="1"/>
  <c r="O68" i="1"/>
  <c r="R68" i="1"/>
  <c r="P68" i="1"/>
  <c r="S68" i="1"/>
  <c r="T68" i="1"/>
  <c r="W68" i="1"/>
  <c r="O69" i="1"/>
  <c r="R69" i="1"/>
  <c r="P69" i="1"/>
  <c r="S69" i="1"/>
  <c r="T69" i="1"/>
  <c r="W69" i="1"/>
  <c r="O70" i="1"/>
  <c r="R70" i="1"/>
  <c r="P70" i="1"/>
  <c r="S70" i="1"/>
  <c r="T70" i="1"/>
  <c r="W70" i="1"/>
  <c r="O71" i="1"/>
  <c r="R71" i="1"/>
  <c r="P71" i="1"/>
  <c r="S71" i="1"/>
  <c r="T71" i="1"/>
  <c r="W71" i="1"/>
  <c r="O72" i="1"/>
  <c r="R72" i="1"/>
  <c r="P72" i="1"/>
  <c r="S72" i="1"/>
  <c r="T72" i="1"/>
  <c r="W72" i="1"/>
  <c r="O73" i="1"/>
  <c r="R73" i="1"/>
  <c r="P73" i="1"/>
  <c r="S73" i="1"/>
  <c r="T73" i="1"/>
  <c r="W73" i="1"/>
  <c r="O74" i="1"/>
  <c r="R74" i="1"/>
  <c r="P74" i="1"/>
  <c r="S74" i="1"/>
  <c r="T74" i="1"/>
  <c r="W74" i="1"/>
  <c r="O75" i="1"/>
  <c r="R75" i="1"/>
  <c r="P75" i="1"/>
  <c r="S75" i="1"/>
  <c r="T75" i="1"/>
  <c r="W75" i="1"/>
  <c r="O76" i="1"/>
  <c r="R76" i="1"/>
  <c r="P76" i="1"/>
  <c r="S76" i="1"/>
  <c r="T76" i="1"/>
  <c r="W76" i="1"/>
  <c r="O77" i="1"/>
  <c r="R77" i="1"/>
  <c r="P77" i="1"/>
  <c r="S77" i="1"/>
  <c r="T77" i="1"/>
  <c r="W77" i="1"/>
  <c r="O78" i="1"/>
  <c r="R78" i="1"/>
  <c r="P78" i="1"/>
  <c r="S78" i="1"/>
  <c r="T78" i="1"/>
  <c r="W78" i="1"/>
  <c r="O79" i="1"/>
  <c r="R79" i="1"/>
  <c r="P79" i="1"/>
  <c r="S79" i="1"/>
  <c r="T79" i="1"/>
  <c r="W79" i="1"/>
  <c r="O80" i="1"/>
  <c r="R80" i="1"/>
  <c r="P80" i="1"/>
  <c r="S80" i="1"/>
  <c r="T80" i="1"/>
  <c r="W80" i="1"/>
  <c r="O81" i="1"/>
  <c r="R81" i="1"/>
  <c r="P81" i="1"/>
  <c r="S81" i="1"/>
  <c r="T81" i="1"/>
  <c r="W81" i="1"/>
  <c r="O82" i="1"/>
  <c r="P82" i="1"/>
  <c r="S82" i="1"/>
  <c r="T82" i="1"/>
  <c r="W82" i="1"/>
  <c r="O83" i="1"/>
  <c r="P83" i="1"/>
  <c r="S83" i="1"/>
  <c r="T83" i="1"/>
  <c r="W83" i="1"/>
  <c r="O84" i="1"/>
  <c r="P84" i="1"/>
  <c r="S84" i="1"/>
  <c r="T84" i="1"/>
  <c r="W84" i="1"/>
  <c r="O85" i="1"/>
  <c r="P85" i="1"/>
  <c r="S85" i="1"/>
  <c r="T85" i="1"/>
  <c r="W85" i="1"/>
  <c r="O86" i="1"/>
  <c r="P86" i="1"/>
  <c r="S86" i="1"/>
  <c r="T86" i="1"/>
  <c r="W86" i="1"/>
  <c r="O87" i="1"/>
  <c r="P87" i="1"/>
  <c r="S87" i="1"/>
  <c r="T87" i="1"/>
  <c r="W87" i="1"/>
  <c r="O88" i="1"/>
  <c r="R88" i="1"/>
  <c r="P88" i="1"/>
  <c r="S88" i="1"/>
  <c r="T88" i="1"/>
  <c r="W88" i="1"/>
  <c r="O89" i="1"/>
  <c r="R89" i="1"/>
  <c r="P89" i="1"/>
  <c r="S89" i="1"/>
  <c r="T89" i="1"/>
  <c r="W89" i="1"/>
  <c r="O90" i="1"/>
  <c r="R90" i="1"/>
  <c r="P90" i="1"/>
  <c r="S90" i="1"/>
  <c r="T90" i="1"/>
  <c r="W90" i="1"/>
  <c r="O91" i="1"/>
  <c r="R91" i="1"/>
  <c r="P91" i="1"/>
  <c r="S91" i="1"/>
  <c r="T91" i="1"/>
  <c r="W91" i="1"/>
  <c r="O92" i="1"/>
  <c r="R92" i="1"/>
  <c r="P92" i="1"/>
  <c r="S92" i="1"/>
  <c r="T92" i="1"/>
  <c r="W92" i="1"/>
  <c r="O93" i="1"/>
  <c r="R93" i="1"/>
  <c r="P93" i="1"/>
  <c r="S93" i="1"/>
  <c r="T93" i="1"/>
  <c r="W93" i="1"/>
  <c r="O94" i="1"/>
  <c r="R94" i="1"/>
  <c r="P94" i="1"/>
  <c r="S94" i="1"/>
  <c r="T94" i="1"/>
  <c r="W94" i="1"/>
  <c r="O95" i="1"/>
  <c r="R95" i="1"/>
  <c r="P95" i="1"/>
  <c r="S95" i="1"/>
  <c r="T95" i="1"/>
  <c r="W95" i="1"/>
  <c r="O96" i="1"/>
  <c r="R96" i="1"/>
  <c r="P96" i="1"/>
  <c r="S96" i="1"/>
  <c r="T96" i="1"/>
  <c r="W96" i="1"/>
  <c r="O97" i="1"/>
  <c r="R97" i="1"/>
  <c r="P97" i="1"/>
  <c r="S97" i="1"/>
  <c r="T97" i="1"/>
  <c r="W97" i="1"/>
  <c r="O98" i="1"/>
  <c r="R98" i="1"/>
  <c r="P98" i="1"/>
  <c r="S98" i="1"/>
  <c r="T98" i="1"/>
  <c r="W98" i="1"/>
  <c r="O99" i="1"/>
  <c r="R99" i="1"/>
  <c r="P99" i="1"/>
  <c r="S99" i="1"/>
  <c r="T99" i="1"/>
  <c r="W99" i="1"/>
  <c r="O100" i="1"/>
  <c r="R100" i="1"/>
  <c r="P100" i="1"/>
  <c r="S100" i="1"/>
  <c r="T100" i="1"/>
  <c r="W100" i="1"/>
  <c r="O101" i="1"/>
  <c r="R101" i="1"/>
  <c r="P101" i="1"/>
  <c r="S101" i="1"/>
  <c r="T101" i="1"/>
  <c r="W101" i="1"/>
  <c r="O102" i="1"/>
  <c r="R102" i="1"/>
  <c r="P102" i="1"/>
  <c r="S102" i="1"/>
  <c r="T102" i="1"/>
  <c r="W102" i="1"/>
  <c r="O103" i="1"/>
  <c r="R103" i="1"/>
  <c r="P103" i="1"/>
  <c r="S103" i="1"/>
  <c r="T103" i="1"/>
  <c r="W103" i="1"/>
  <c r="O104" i="1"/>
  <c r="R104" i="1"/>
  <c r="P104" i="1"/>
  <c r="S104" i="1"/>
  <c r="T104" i="1"/>
  <c r="W104" i="1"/>
  <c r="O105" i="1"/>
  <c r="R105" i="1"/>
  <c r="P105" i="1"/>
  <c r="S105" i="1"/>
  <c r="T105" i="1"/>
  <c r="W105" i="1"/>
  <c r="O106" i="1"/>
  <c r="R106" i="1"/>
  <c r="P106" i="1"/>
  <c r="S106" i="1"/>
  <c r="T106" i="1"/>
  <c r="W106" i="1"/>
  <c r="O107" i="1"/>
  <c r="R107" i="1"/>
  <c r="P107" i="1"/>
  <c r="S107" i="1"/>
  <c r="T107" i="1"/>
  <c r="W107" i="1"/>
  <c r="O108" i="1"/>
  <c r="R108" i="1"/>
  <c r="P108" i="1"/>
  <c r="S108" i="1"/>
  <c r="T108" i="1"/>
  <c r="W108" i="1"/>
  <c r="O109" i="1"/>
  <c r="R109" i="1"/>
  <c r="P109" i="1"/>
  <c r="S109" i="1"/>
  <c r="T109" i="1"/>
  <c r="W109" i="1"/>
  <c r="O110" i="1"/>
  <c r="R110" i="1"/>
  <c r="P110" i="1"/>
  <c r="S110" i="1"/>
  <c r="T110" i="1"/>
  <c r="W110" i="1"/>
  <c r="O111" i="1"/>
  <c r="R111" i="1"/>
  <c r="P111" i="1"/>
  <c r="S111" i="1"/>
  <c r="T111" i="1"/>
  <c r="W111" i="1"/>
  <c r="O112" i="1"/>
  <c r="R112" i="1"/>
  <c r="P112" i="1"/>
  <c r="S112" i="1"/>
  <c r="T112" i="1"/>
  <c r="W112" i="1"/>
  <c r="O113" i="1"/>
  <c r="R113" i="1"/>
  <c r="P113" i="1"/>
  <c r="S113" i="1"/>
  <c r="T113" i="1"/>
  <c r="W113" i="1"/>
  <c r="O114" i="1"/>
  <c r="R114" i="1"/>
  <c r="P114" i="1"/>
  <c r="S114" i="1"/>
  <c r="T114" i="1"/>
  <c r="W114" i="1"/>
  <c r="O115" i="1"/>
  <c r="R115" i="1"/>
  <c r="P115" i="1"/>
  <c r="S115" i="1"/>
  <c r="T115" i="1"/>
  <c r="W115" i="1"/>
  <c r="O116" i="1"/>
  <c r="R116" i="1"/>
  <c r="P116" i="1"/>
  <c r="S116" i="1"/>
  <c r="T116" i="1"/>
  <c r="W116" i="1"/>
  <c r="O117" i="1"/>
  <c r="R117" i="1"/>
  <c r="P117" i="1"/>
  <c r="S117" i="1"/>
  <c r="T117" i="1"/>
  <c r="W117" i="1"/>
  <c r="O118" i="1"/>
  <c r="R118" i="1"/>
  <c r="P118" i="1"/>
  <c r="S118" i="1"/>
  <c r="T118" i="1"/>
  <c r="W118" i="1"/>
  <c r="O119" i="1"/>
  <c r="R119" i="1"/>
  <c r="P119" i="1"/>
  <c r="S119" i="1"/>
  <c r="T119" i="1"/>
  <c r="W119" i="1"/>
  <c r="O120" i="1"/>
  <c r="R120" i="1"/>
  <c r="P120" i="1"/>
  <c r="S120" i="1"/>
  <c r="T120" i="1"/>
  <c r="W120" i="1"/>
  <c r="O121" i="1"/>
  <c r="R121" i="1"/>
  <c r="P121" i="1"/>
  <c r="S121" i="1"/>
  <c r="T121" i="1"/>
  <c r="W121" i="1"/>
  <c r="O122" i="1"/>
  <c r="R122" i="1"/>
  <c r="P122" i="1"/>
  <c r="S122" i="1"/>
  <c r="T122" i="1"/>
  <c r="W122" i="1"/>
  <c r="O123" i="1"/>
  <c r="R123" i="1"/>
  <c r="P123" i="1"/>
  <c r="S123" i="1"/>
  <c r="T123" i="1"/>
  <c r="W123" i="1"/>
  <c r="O124" i="1"/>
  <c r="R124" i="1"/>
  <c r="P124" i="1"/>
  <c r="S124" i="1"/>
  <c r="T124" i="1"/>
  <c r="W124" i="1"/>
  <c r="O125" i="1"/>
  <c r="R125" i="1"/>
  <c r="P125" i="1"/>
  <c r="S125" i="1"/>
  <c r="T125" i="1"/>
  <c r="W125" i="1"/>
  <c r="O126" i="1"/>
  <c r="R126" i="1"/>
  <c r="P126" i="1"/>
  <c r="S126" i="1"/>
  <c r="T126" i="1"/>
  <c r="W126" i="1"/>
  <c r="O127" i="1"/>
  <c r="R127" i="1"/>
  <c r="P127" i="1"/>
  <c r="S127" i="1"/>
  <c r="T127" i="1"/>
  <c r="W127" i="1"/>
  <c r="O128" i="1"/>
  <c r="R128" i="1"/>
  <c r="P128" i="1"/>
  <c r="S128" i="1"/>
  <c r="T128" i="1"/>
  <c r="W128" i="1"/>
  <c r="O129" i="1"/>
  <c r="R129" i="1"/>
  <c r="P129" i="1"/>
  <c r="S129" i="1"/>
  <c r="T129" i="1"/>
  <c r="W129" i="1"/>
  <c r="O130" i="1"/>
  <c r="R130" i="1"/>
  <c r="P130" i="1"/>
  <c r="S130" i="1"/>
  <c r="T130" i="1"/>
  <c r="W130" i="1"/>
  <c r="O131" i="1"/>
  <c r="R131" i="1"/>
  <c r="P131" i="1"/>
  <c r="S131" i="1"/>
  <c r="T131" i="1"/>
  <c r="W131" i="1"/>
  <c r="O132" i="1"/>
  <c r="R132" i="1"/>
  <c r="P132" i="1"/>
  <c r="S132" i="1"/>
  <c r="T132" i="1"/>
  <c r="W132" i="1"/>
  <c r="O133" i="1"/>
  <c r="R133" i="1"/>
  <c r="P133" i="1"/>
  <c r="S133" i="1"/>
  <c r="T133" i="1"/>
  <c r="W133" i="1"/>
  <c r="O134" i="1"/>
  <c r="R134" i="1"/>
  <c r="P134" i="1"/>
  <c r="S134" i="1"/>
  <c r="T134" i="1"/>
  <c r="W134" i="1"/>
  <c r="O135" i="1"/>
  <c r="R135" i="1"/>
  <c r="P135" i="1"/>
  <c r="S135" i="1"/>
  <c r="T135" i="1"/>
  <c r="W135" i="1"/>
  <c r="O136" i="1"/>
  <c r="R136" i="1"/>
  <c r="P136" i="1"/>
  <c r="S136" i="1"/>
  <c r="T136" i="1"/>
  <c r="W136" i="1"/>
  <c r="O137" i="1"/>
  <c r="R137" i="1"/>
  <c r="P137" i="1"/>
  <c r="S137" i="1"/>
  <c r="T137" i="1"/>
  <c r="W137" i="1"/>
  <c r="O138" i="1"/>
  <c r="R138" i="1"/>
  <c r="P138" i="1"/>
  <c r="S138" i="1"/>
  <c r="T138" i="1"/>
  <c r="W138" i="1"/>
  <c r="O139" i="1"/>
  <c r="R139" i="1"/>
  <c r="P139" i="1"/>
  <c r="S139" i="1"/>
  <c r="T139" i="1"/>
  <c r="W139" i="1"/>
  <c r="O140" i="1"/>
  <c r="R140" i="1"/>
  <c r="P140" i="1"/>
  <c r="S140" i="1"/>
  <c r="T140" i="1"/>
  <c r="W140" i="1"/>
  <c r="O141" i="1"/>
  <c r="R141" i="1"/>
  <c r="P141" i="1"/>
  <c r="S141" i="1"/>
  <c r="T141" i="1"/>
  <c r="W141" i="1"/>
  <c r="O142" i="1"/>
  <c r="R142" i="1"/>
  <c r="P142" i="1"/>
  <c r="S142" i="1"/>
  <c r="T142" i="1"/>
  <c r="W142" i="1"/>
  <c r="O143" i="1"/>
  <c r="R143" i="1"/>
  <c r="P143" i="1"/>
  <c r="S143" i="1"/>
  <c r="T143" i="1"/>
  <c r="W143" i="1"/>
  <c r="O144" i="1"/>
  <c r="R144" i="1"/>
  <c r="P144" i="1"/>
  <c r="S144" i="1"/>
  <c r="T144" i="1"/>
  <c r="W144" i="1"/>
  <c r="O145" i="1"/>
  <c r="R145" i="1"/>
  <c r="P145" i="1"/>
  <c r="S145" i="1"/>
  <c r="T145" i="1"/>
  <c r="W145" i="1"/>
  <c r="O146" i="1"/>
  <c r="R146" i="1"/>
  <c r="P146" i="1"/>
  <c r="S146" i="1"/>
  <c r="T146" i="1"/>
  <c r="W146" i="1"/>
  <c r="O147" i="1"/>
  <c r="R147" i="1"/>
  <c r="P147" i="1"/>
  <c r="S147" i="1"/>
  <c r="T147" i="1"/>
  <c r="W147" i="1"/>
  <c r="O148" i="1"/>
  <c r="R148" i="1"/>
  <c r="P148" i="1"/>
  <c r="S148" i="1"/>
  <c r="T148" i="1"/>
  <c r="W148" i="1"/>
  <c r="O149" i="1"/>
  <c r="R149" i="1"/>
  <c r="P149" i="1"/>
  <c r="S149" i="1"/>
  <c r="T149" i="1"/>
  <c r="W149" i="1"/>
  <c r="O150" i="1"/>
  <c r="R150" i="1"/>
  <c r="P150" i="1"/>
  <c r="S150" i="1"/>
  <c r="T150" i="1"/>
  <c r="W150" i="1"/>
  <c r="O151" i="1"/>
  <c r="R151" i="1"/>
  <c r="P151" i="1"/>
  <c r="S151" i="1"/>
  <c r="T151" i="1"/>
  <c r="W151" i="1"/>
  <c r="O152" i="1"/>
  <c r="R152" i="1"/>
  <c r="P152" i="1"/>
  <c r="S152" i="1"/>
  <c r="T152" i="1"/>
  <c r="W152" i="1"/>
  <c r="O153" i="1"/>
  <c r="R153" i="1"/>
  <c r="P153" i="1"/>
  <c r="S153" i="1"/>
  <c r="T153" i="1"/>
  <c r="W153" i="1"/>
  <c r="O154" i="1"/>
  <c r="R154" i="1"/>
  <c r="P154" i="1"/>
  <c r="S154" i="1"/>
  <c r="T154" i="1"/>
  <c r="W154" i="1"/>
  <c r="O155" i="1"/>
  <c r="R155" i="1"/>
  <c r="P155" i="1"/>
  <c r="S155" i="1"/>
  <c r="T155" i="1"/>
  <c r="W155" i="1"/>
  <c r="O156" i="1"/>
  <c r="R156" i="1"/>
  <c r="P156" i="1"/>
  <c r="S156" i="1"/>
  <c r="T156" i="1"/>
  <c r="W156" i="1"/>
  <c r="O157" i="1"/>
  <c r="R157" i="1"/>
  <c r="P157" i="1"/>
  <c r="S157" i="1"/>
  <c r="T157" i="1"/>
  <c r="W157" i="1"/>
  <c r="O158" i="1"/>
  <c r="R158" i="1"/>
  <c r="P158" i="1"/>
  <c r="S158" i="1"/>
  <c r="T158" i="1"/>
  <c r="W158" i="1"/>
  <c r="O159" i="1"/>
  <c r="R159" i="1"/>
  <c r="P159" i="1"/>
  <c r="S159" i="1"/>
  <c r="T159" i="1"/>
  <c r="W159" i="1"/>
  <c r="O160" i="1"/>
  <c r="R160" i="1"/>
  <c r="P160" i="1"/>
  <c r="S160" i="1"/>
  <c r="T160" i="1"/>
  <c r="W160" i="1"/>
  <c r="O161" i="1"/>
  <c r="R161" i="1"/>
  <c r="P161" i="1"/>
  <c r="S161" i="1"/>
  <c r="T161" i="1"/>
  <c r="W161" i="1"/>
  <c r="O162" i="1"/>
  <c r="R162" i="1"/>
  <c r="P162" i="1"/>
  <c r="S162" i="1"/>
  <c r="T162" i="1"/>
  <c r="W162" i="1"/>
  <c r="O163" i="1"/>
  <c r="R163" i="1"/>
  <c r="P163" i="1"/>
  <c r="S163" i="1"/>
  <c r="T163" i="1"/>
  <c r="W163" i="1"/>
  <c r="O164" i="1"/>
  <c r="R164" i="1"/>
  <c r="P164" i="1"/>
  <c r="S164" i="1"/>
  <c r="T164" i="1"/>
  <c r="W164" i="1"/>
  <c r="O165" i="1"/>
  <c r="R165" i="1"/>
  <c r="P165" i="1"/>
  <c r="S165" i="1"/>
  <c r="T165" i="1"/>
  <c r="W165" i="1"/>
  <c r="O166" i="1"/>
  <c r="P166" i="1"/>
  <c r="S166" i="1"/>
  <c r="T166" i="1"/>
  <c r="W166" i="1"/>
  <c r="O167" i="1"/>
  <c r="P167" i="1"/>
  <c r="S167" i="1"/>
  <c r="T167" i="1"/>
  <c r="W167" i="1"/>
  <c r="O168" i="1"/>
  <c r="P168" i="1"/>
  <c r="S168" i="1"/>
  <c r="T168" i="1"/>
  <c r="W168" i="1"/>
  <c r="O169" i="1"/>
  <c r="P169" i="1"/>
  <c r="S169" i="1"/>
  <c r="T169" i="1"/>
  <c r="W169" i="1"/>
  <c r="O170" i="1"/>
  <c r="P170" i="1"/>
  <c r="S170" i="1"/>
  <c r="T170" i="1"/>
  <c r="W170" i="1"/>
  <c r="O171" i="1"/>
  <c r="P171" i="1"/>
  <c r="S171" i="1"/>
  <c r="T171" i="1"/>
  <c r="W171" i="1"/>
  <c r="P4" i="1"/>
  <c r="S4" i="1"/>
  <c r="T4" i="1"/>
  <c r="W4" i="1"/>
  <c r="AR10" i="10"/>
  <c r="F11" i="11"/>
  <c r="J11" i="11"/>
  <c r="J11" i="15"/>
  <c r="N11" i="11"/>
  <c r="N11" i="15"/>
  <c r="O11" i="11"/>
  <c r="AR11" i="10"/>
  <c r="L12" i="11"/>
  <c r="L12" i="15"/>
  <c r="AR12" i="10"/>
  <c r="P12" i="11"/>
  <c r="P12" i="15"/>
  <c r="AR13" i="10"/>
  <c r="AS13" i="10"/>
  <c r="AR14" i="10"/>
  <c r="AS14" i="10"/>
  <c r="AR15" i="10"/>
  <c r="G16" i="11"/>
  <c r="G16" i="15"/>
  <c r="K16" i="11"/>
  <c r="K16" i="15"/>
  <c r="O16" i="11"/>
  <c r="O16" i="15"/>
  <c r="AR16" i="10"/>
  <c r="E17" i="11"/>
  <c r="E17" i="15"/>
  <c r="I17" i="11"/>
  <c r="I17" i="15"/>
  <c r="M17" i="11"/>
  <c r="M17" i="15"/>
  <c r="AR17" i="10"/>
  <c r="AS17" i="10"/>
  <c r="J18" i="11"/>
  <c r="J18" i="15"/>
  <c r="N18" i="11"/>
  <c r="N18" i="15"/>
  <c r="AR18" i="10"/>
  <c r="G19" i="11"/>
  <c r="G19" i="15"/>
  <c r="K19" i="11"/>
  <c r="K19" i="15"/>
  <c r="O19" i="11"/>
  <c r="O19" i="15"/>
  <c r="AR19" i="10"/>
  <c r="AR20" i="10"/>
  <c r="AR21" i="10"/>
  <c r="AS21" i="10"/>
  <c r="AR22" i="10"/>
  <c r="AS22" i="10"/>
  <c r="AR23" i="10"/>
  <c r="AR24" i="10"/>
  <c r="AR25" i="10"/>
  <c r="AS25" i="10"/>
  <c r="AR26" i="10"/>
  <c r="AS26" i="10"/>
  <c r="AR27" i="10"/>
  <c r="AR28" i="10"/>
  <c r="AR29" i="10"/>
  <c r="AS29" i="10"/>
  <c r="AR30" i="10"/>
  <c r="AS30" i="10"/>
  <c r="AR31" i="10"/>
  <c r="AR32" i="10"/>
  <c r="AR33" i="10"/>
  <c r="AR34" i="10"/>
  <c r="AS34" i="10"/>
  <c r="AR35" i="10"/>
  <c r="AR36" i="10"/>
  <c r="AR37" i="10"/>
  <c r="AS37" i="10"/>
  <c r="AR38" i="10"/>
  <c r="AS38" i="10"/>
  <c r="AT38" i="10"/>
  <c r="AR39" i="10"/>
  <c r="AR40" i="10"/>
  <c r="H41" i="11"/>
  <c r="H41" i="15"/>
  <c r="L41" i="11"/>
  <c r="L41" i="15"/>
  <c r="AR41" i="10"/>
  <c r="P41" i="11"/>
  <c r="P41" i="15"/>
  <c r="E42" i="11"/>
  <c r="I42" i="11"/>
  <c r="I42" i="15"/>
  <c r="M42" i="11"/>
  <c r="M42" i="15"/>
  <c r="AR42" i="10"/>
  <c r="AS42" i="10"/>
  <c r="AT42" i="10"/>
  <c r="F43" i="11"/>
  <c r="F43" i="15"/>
  <c r="J43" i="11"/>
  <c r="J43" i="15"/>
  <c r="N43" i="11"/>
  <c r="N43" i="15"/>
  <c r="AR43" i="10"/>
  <c r="D44" i="11"/>
  <c r="D44" i="15"/>
  <c r="H44" i="11"/>
  <c r="H44" i="15"/>
  <c r="L44" i="11"/>
  <c r="L44" i="15"/>
  <c r="AR44" i="10"/>
  <c r="P44" i="11"/>
  <c r="P44" i="15"/>
  <c r="AR45" i="10"/>
  <c r="AS45" i="10"/>
  <c r="AR46" i="10"/>
  <c r="AS46" i="10"/>
  <c r="AR47" i="10"/>
  <c r="G48" i="11"/>
  <c r="K48" i="11"/>
  <c r="O48" i="11"/>
  <c r="AR48" i="10"/>
  <c r="E49" i="11"/>
  <c r="E49" i="15"/>
  <c r="I49" i="11"/>
  <c r="I49" i="15"/>
  <c r="M49" i="11"/>
  <c r="M49" i="15"/>
  <c r="AR49" i="10"/>
  <c r="AS49" i="10"/>
  <c r="J50" i="11"/>
  <c r="J50" i="15"/>
  <c r="N50" i="11"/>
  <c r="N50" i="15"/>
  <c r="AR50" i="10"/>
  <c r="G51" i="11"/>
  <c r="G51" i="15"/>
  <c r="K51" i="11"/>
  <c r="K51" i="15"/>
  <c r="O51" i="11"/>
  <c r="O51" i="15"/>
  <c r="AR51" i="10"/>
  <c r="AR52" i="10"/>
  <c r="AR53" i="10"/>
  <c r="AS53" i="10"/>
  <c r="AR54" i="10"/>
  <c r="AS54" i="10"/>
  <c r="AR55" i="10"/>
  <c r="AR56" i="10"/>
  <c r="AR57" i="10"/>
  <c r="AS57" i="10"/>
  <c r="AR58" i="10"/>
  <c r="AS58" i="10"/>
  <c r="AR59" i="10"/>
  <c r="AR60" i="10"/>
  <c r="AR61" i="10"/>
  <c r="AS61" i="10"/>
  <c r="AR62" i="10"/>
  <c r="AS62" i="10"/>
  <c r="AT62" i="10"/>
  <c r="AR63" i="10"/>
  <c r="AR64" i="10"/>
  <c r="AR65" i="10"/>
  <c r="AR66" i="10"/>
  <c r="AS66" i="10"/>
  <c r="AR67" i="10"/>
  <c r="AR68" i="10"/>
  <c r="AR69" i="10"/>
  <c r="AS69" i="10"/>
  <c r="AR70" i="10"/>
  <c r="AS70" i="10"/>
  <c r="AR71" i="10"/>
  <c r="AR72" i="10"/>
  <c r="D73" i="11"/>
  <c r="H73" i="11"/>
  <c r="L73" i="11"/>
  <c r="AR73" i="10"/>
  <c r="P73" i="11"/>
  <c r="AS73" i="10"/>
  <c r="E74" i="11"/>
  <c r="AR74" i="10"/>
  <c r="AS74" i="10"/>
  <c r="AT74" i="10"/>
  <c r="I74" i="11"/>
  <c r="M74" i="11"/>
  <c r="F75" i="11"/>
  <c r="J75" i="11"/>
  <c r="N75" i="11"/>
  <c r="AR75" i="10"/>
  <c r="D76" i="11"/>
  <c r="H76" i="11"/>
  <c r="L76" i="11"/>
  <c r="AR76" i="10"/>
  <c r="P76" i="11"/>
  <c r="AR77" i="10"/>
  <c r="AS77" i="10"/>
  <c r="AR78" i="10"/>
  <c r="AS78" i="10"/>
  <c r="AR79" i="10"/>
  <c r="G80" i="11"/>
  <c r="K80" i="11"/>
  <c r="O80" i="11"/>
  <c r="AR80" i="10"/>
  <c r="E81" i="11"/>
  <c r="I81" i="11"/>
  <c r="M81" i="11"/>
  <c r="AR81" i="10"/>
  <c r="AS81" i="10"/>
  <c r="J82" i="11"/>
  <c r="N82" i="11"/>
  <c r="AR82" i="10"/>
  <c r="G83" i="11"/>
  <c r="K83" i="11"/>
  <c r="O83" i="11"/>
  <c r="AR83" i="10"/>
  <c r="AR84" i="10"/>
  <c r="AR85" i="10"/>
  <c r="AS85" i="10"/>
  <c r="AR86" i="10"/>
  <c r="AS86" i="10"/>
  <c r="AR87" i="10"/>
  <c r="G9" i="11"/>
  <c r="K9" i="11"/>
  <c r="K9" i="15"/>
  <c r="O9" i="11"/>
  <c r="AR9" i="10"/>
  <c r="D9" i="11"/>
  <c r="E9" i="11"/>
  <c r="E9" i="15"/>
  <c r="F9" i="11"/>
  <c r="H9" i="11"/>
  <c r="I9" i="11"/>
  <c r="I9" i="15"/>
  <c r="J9" i="11"/>
  <c r="L9" i="11"/>
  <c r="M9" i="11"/>
  <c r="M9" i="15"/>
  <c r="N9" i="11"/>
  <c r="P9" i="11"/>
  <c r="P9" i="15"/>
  <c r="C10" i="11"/>
  <c r="D10" i="11"/>
  <c r="G10" i="11"/>
  <c r="H10" i="11"/>
  <c r="K10" i="11"/>
  <c r="L10" i="11"/>
  <c r="O10" i="11"/>
  <c r="P10" i="11"/>
  <c r="D11" i="11"/>
  <c r="E11" i="11"/>
  <c r="H11" i="11"/>
  <c r="I11" i="11"/>
  <c r="L11" i="11"/>
  <c r="M11" i="11"/>
  <c r="P11" i="11"/>
  <c r="C12" i="11"/>
  <c r="E12" i="11"/>
  <c r="F12" i="11"/>
  <c r="G12" i="11"/>
  <c r="I12" i="11"/>
  <c r="J12" i="11"/>
  <c r="K12" i="11"/>
  <c r="M12" i="11"/>
  <c r="N12" i="11"/>
  <c r="O12" i="11"/>
  <c r="C13" i="11"/>
  <c r="D13" i="11"/>
  <c r="E13" i="11"/>
  <c r="E13" i="15"/>
  <c r="F13" i="11"/>
  <c r="G13" i="11"/>
  <c r="H13" i="11"/>
  <c r="I13" i="11"/>
  <c r="I13" i="15"/>
  <c r="J13" i="11"/>
  <c r="K13" i="11"/>
  <c r="L13" i="11"/>
  <c r="M13" i="11"/>
  <c r="M13" i="15"/>
  <c r="N13" i="11"/>
  <c r="O13" i="11"/>
  <c r="P13" i="11"/>
  <c r="Q13" i="11"/>
  <c r="Q13" i="14"/>
  <c r="C14" i="11"/>
  <c r="D14" i="11"/>
  <c r="E14" i="11"/>
  <c r="F14" i="11"/>
  <c r="G14" i="11"/>
  <c r="H14" i="11"/>
  <c r="I14" i="11"/>
  <c r="J14" i="11"/>
  <c r="K14" i="11"/>
  <c r="L14" i="11"/>
  <c r="M14" i="11"/>
  <c r="N14" i="11"/>
  <c r="O14" i="11"/>
  <c r="P14" i="11"/>
  <c r="Q14" i="11"/>
  <c r="Q14" i="14"/>
  <c r="C15" i="11"/>
  <c r="D15" i="11"/>
  <c r="E15" i="11"/>
  <c r="F15" i="11"/>
  <c r="G15" i="11"/>
  <c r="H15" i="11"/>
  <c r="I15" i="11"/>
  <c r="J15" i="11"/>
  <c r="K15" i="11"/>
  <c r="L15" i="11"/>
  <c r="M15" i="11"/>
  <c r="N15" i="11"/>
  <c r="O15" i="11"/>
  <c r="P15" i="11"/>
  <c r="D16" i="11"/>
  <c r="E16" i="11"/>
  <c r="F16" i="11"/>
  <c r="H16" i="11"/>
  <c r="I16" i="11"/>
  <c r="J16" i="11"/>
  <c r="L16" i="11"/>
  <c r="M16" i="11"/>
  <c r="N16" i="11"/>
  <c r="P16" i="11"/>
  <c r="C17" i="11"/>
  <c r="D17" i="11"/>
  <c r="F17" i="11"/>
  <c r="G17" i="11"/>
  <c r="H17" i="11"/>
  <c r="J17" i="11"/>
  <c r="K17" i="11"/>
  <c r="L17" i="11"/>
  <c r="N17" i="11"/>
  <c r="O17" i="11"/>
  <c r="P17" i="11"/>
  <c r="C18" i="11"/>
  <c r="D18" i="11"/>
  <c r="E18" i="11"/>
  <c r="G18" i="11"/>
  <c r="H18" i="11"/>
  <c r="I18" i="11"/>
  <c r="K18" i="11"/>
  <c r="L18" i="11"/>
  <c r="M18" i="11"/>
  <c r="O18" i="11"/>
  <c r="P18" i="11"/>
  <c r="D19" i="11"/>
  <c r="E19" i="11"/>
  <c r="F19" i="11"/>
  <c r="H19" i="11"/>
  <c r="I19" i="11"/>
  <c r="J19" i="11"/>
  <c r="L19" i="11"/>
  <c r="M19" i="11"/>
  <c r="N19" i="11"/>
  <c r="P19" i="11"/>
  <c r="C20" i="11"/>
  <c r="D20" i="11"/>
  <c r="E20" i="11"/>
  <c r="F20" i="11"/>
  <c r="G20" i="11"/>
  <c r="H20" i="11"/>
  <c r="I20" i="11"/>
  <c r="J20" i="11"/>
  <c r="K20" i="11"/>
  <c r="L20" i="11"/>
  <c r="M20" i="11"/>
  <c r="N20" i="11"/>
  <c r="O20" i="11"/>
  <c r="P20" i="11"/>
  <c r="C21" i="11"/>
  <c r="D21" i="11"/>
  <c r="E21" i="11"/>
  <c r="F21" i="11"/>
  <c r="G21" i="11"/>
  <c r="H21" i="11"/>
  <c r="I21" i="11"/>
  <c r="J21" i="11"/>
  <c r="K21" i="11"/>
  <c r="L21" i="11"/>
  <c r="M21" i="11"/>
  <c r="N21" i="11"/>
  <c r="O21" i="11"/>
  <c r="P21" i="11"/>
  <c r="Q21" i="11"/>
  <c r="Q21" i="14"/>
  <c r="C22" i="11"/>
  <c r="D22" i="11"/>
  <c r="E22" i="11"/>
  <c r="F22" i="11"/>
  <c r="G22" i="11"/>
  <c r="H22" i="11"/>
  <c r="I22" i="11"/>
  <c r="J22" i="11"/>
  <c r="K22" i="11"/>
  <c r="L22" i="11"/>
  <c r="M22" i="11"/>
  <c r="N22" i="11"/>
  <c r="O22" i="11"/>
  <c r="P22" i="11"/>
  <c r="Q22" i="11"/>
  <c r="Q22" i="14"/>
  <c r="C23" i="11"/>
  <c r="D23" i="11"/>
  <c r="E23" i="11"/>
  <c r="F23" i="11"/>
  <c r="G23" i="11"/>
  <c r="H23" i="11"/>
  <c r="I23" i="11"/>
  <c r="J23" i="11"/>
  <c r="K23" i="11"/>
  <c r="L23" i="11"/>
  <c r="M23" i="11"/>
  <c r="N23" i="11"/>
  <c r="O23" i="11"/>
  <c r="P23" i="11"/>
  <c r="C24" i="11"/>
  <c r="D24" i="11"/>
  <c r="E24" i="11"/>
  <c r="F24" i="11"/>
  <c r="G24" i="11"/>
  <c r="H24" i="11"/>
  <c r="I24" i="11"/>
  <c r="J24" i="11"/>
  <c r="K24" i="11"/>
  <c r="L24" i="11"/>
  <c r="M24" i="11"/>
  <c r="N24" i="11"/>
  <c r="O24" i="11"/>
  <c r="P24" i="11"/>
  <c r="C25" i="11"/>
  <c r="D25" i="11"/>
  <c r="E25" i="11"/>
  <c r="E25" i="15"/>
  <c r="F25" i="11"/>
  <c r="G25" i="11"/>
  <c r="H25" i="11"/>
  <c r="I25" i="11"/>
  <c r="I25" i="15"/>
  <c r="J25" i="11"/>
  <c r="K25" i="11"/>
  <c r="L25" i="11"/>
  <c r="M25" i="11"/>
  <c r="M25" i="15"/>
  <c r="N25" i="11"/>
  <c r="O25" i="11"/>
  <c r="P25" i="11"/>
  <c r="Q25" i="11"/>
  <c r="Q25" i="14"/>
  <c r="C26" i="11"/>
  <c r="D26" i="11"/>
  <c r="E26" i="11"/>
  <c r="F26" i="11"/>
  <c r="G26" i="11"/>
  <c r="H26" i="11"/>
  <c r="I26" i="11"/>
  <c r="J26" i="11"/>
  <c r="J26" i="15"/>
  <c r="K26" i="11"/>
  <c r="L26" i="11"/>
  <c r="M26" i="11"/>
  <c r="N26" i="11"/>
  <c r="N26" i="15"/>
  <c r="O26" i="11"/>
  <c r="P26" i="11"/>
  <c r="C27" i="11"/>
  <c r="D27" i="11"/>
  <c r="E27" i="11"/>
  <c r="F27" i="11"/>
  <c r="G27" i="11"/>
  <c r="G27" i="15"/>
  <c r="H27" i="11"/>
  <c r="I27" i="11"/>
  <c r="J27" i="11"/>
  <c r="K27" i="11"/>
  <c r="K27" i="15"/>
  <c r="L27" i="11"/>
  <c r="M27" i="11"/>
  <c r="N27" i="11"/>
  <c r="O27" i="11"/>
  <c r="O27" i="15"/>
  <c r="P27" i="11"/>
  <c r="C28" i="11"/>
  <c r="D28" i="11"/>
  <c r="E28" i="11"/>
  <c r="F28" i="11"/>
  <c r="G28" i="11"/>
  <c r="H28" i="11"/>
  <c r="I28" i="11"/>
  <c r="J28" i="11"/>
  <c r="K28" i="11"/>
  <c r="L28" i="11"/>
  <c r="M28" i="11"/>
  <c r="N28" i="11"/>
  <c r="O28" i="11"/>
  <c r="P28" i="11"/>
  <c r="C29" i="11"/>
  <c r="D29" i="11"/>
  <c r="E29" i="11"/>
  <c r="F29" i="11"/>
  <c r="G29" i="11"/>
  <c r="H29" i="11"/>
  <c r="I29" i="11"/>
  <c r="J29" i="11"/>
  <c r="K29" i="11"/>
  <c r="L29" i="11"/>
  <c r="M29" i="11"/>
  <c r="N29" i="11"/>
  <c r="O29" i="11"/>
  <c r="P29" i="11"/>
  <c r="Q29" i="11"/>
  <c r="Q29" i="14"/>
  <c r="C30" i="11"/>
  <c r="D30" i="11"/>
  <c r="E30" i="11"/>
  <c r="F30" i="11"/>
  <c r="G30" i="11"/>
  <c r="H30" i="11"/>
  <c r="I30" i="11"/>
  <c r="J30" i="11"/>
  <c r="K30" i="11"/>
  <c r="L30" i="11"/>
  <c r="M30" i="11"/>
  <c r="N30" i="11"/>
  <c r="O30" i="11"/>
  <c r="P30" i="11"/>
  <c r="Q30" i="11"/>
  <c r="C31" i="11"/>
  <c r="D31" i="11"/>
  <c r="E31" i="11"/>
  <c r="F31" i="11"/>
  <c r="G31" i="11"/>
  <c r="H31" i="11"/>
  <c r="I31" i="11"/>
  <c r="J31" i="11"/>
  <c r="K31" i="11"/>
  <c r="L31" i="11"/>
  <c r="M31" i="11"/>
  <c r="N31" i="11"/>
  <c r="O31" i="11"/>
  <c r="P31" i="11"/>
  <c r="C32" i="11"/>
  <c r="D32" i="11"/>
  <c r="E32" i="11"/>
  <c r="F32" i="11"/>
  <c r="G32" i="11"/>
  <c r="H32" i="11"/>
  <c r="I32" i="11"/>
  <c r="J32" i="11"/>
  <c r="K32" i="11"/>
  <c r="L32" i="11"/>
  <c r="M32" i="11"/>
  <c r="N32" i="11"/>
  <c r="O32" i="11"/>
  <c r="P32" i="11"/>
  <c r="C33" i="11"/>
  <c r="D33" i="11"/>
  <c r="E33" i="11"/>
  <c r="E33" i="15"/>
  <c r="F33" i="11"/>
  <c r="G33" i="11"/>
  <c r="H33" i="11"/>
  <c r="I33" i="11"/>
  <c r="I33" i="15"/>
  <c r="J33" i="11"/>
  <c r="K33" i="11"/>
  <c r="L33" i="11"/>
  <c r="M33" i="11"/>
  <c r="M33" i="15"/>
  <c r="N33" i="11"/>
  <c r="O33" i="11"/>
  <c r="P33" i="11"/>
  <c r="Q33" i="11"/>
  <c r="Q33" i="14"/>
  <c r="C34" i="11"/>
  <c r="D34" i="11"/>
  <c r="E34" i="11"/>
  <c r="F34" i="11"/>
  <c r="F34" i="15"/>
  <c r="G34" i="11"/>
  <c r="H34" i="11"/>
  <c r="I34" i="11"/>
  <c r="J34" i="11"/>
  <c r="J34" i="15"/>
  <c r="K34" i="11"/>
  <c r="L34" i="11"/>
  <c r="M34" i="11"/>
  <c r="N34" i="11"/>
  <c r="N34" i="15"/>
  <c r="O34" i="11"/>
  <c r="P34" i="11"/>
  <c r="C35" i="11"/>
  <c r="D35" i="11"/>
  <c r="E35" i="11"/>
  <c r="F35" i="11"/>
  <c r="G35" i="11"/>
  <c r="G35" i="15"/>
  <c r="H35" i="11"/>
  <c r="I35" i="11"/>
  <c r="J35" i="11"/>
  <c r="K35" i="11"/>
  <c r="K35" i="15"/>
  <c r="L35" i="11"/>
  <c r="M35" i="11"/>
  <c r="N35" i="11"/>
  <c r="O35" i="11"/>
  <c r="O35" i="15"/>
  <c r="P35" i="11"/>
  <c r="C36" i="11"/>
  <c r="D36" i="11"/>
  <c r="E36" i="11"/>
  <c r="F36" i="11"/>
  <c r="G36" i="11"/>
  <c r="H36" i="11"/>
  <c r="I36" i="11"/>
  <c r="J36" i="11"/>
  <c r="K36" i="11"/>
  <c r="L36" i="11"/>
  <c r="M36" i="11"/>
  <c r="N36" i="11"/>
  <c r="O36" i="11"/>
  <c r="P36" i="11"/>
  <c r="C37" i="11"/>
  <c r="D37" i="11"/>
  <c r="E37" i="11"/>
  <c r="F37" i="11"/>
  <c r="G37" i="11"/>
  <c r="H37" i="11"/>
  <c r="I37" i="11"/>
  <c r="J37" i="11"/>
  <c r="K37" i="11"/>
  <c r="L37" i="11"/>
  <c r="M37" i="11"/>
  <c r="N37" i="11"/>
  <c r="O37" i="11"/>
  <c r="P37" i="11"/>
  <c r="Q37" i="11"/>
  <c r="Q37" i="14"/>
  <c r="C38" i="11"/>
  <c r="D38" i="11"/>
  <c r="E38" i="11"/>
  <c r="F38" i="11"/>
  <c r="G38" i="11"/>
  <c r="H38" i="11"/>
  <c r="I38" i="11"/>
  <c r="J38" i="11"/>
  <c r="K38" i="11"/>
  <c r="L38" i="11"/>
  <c r="M38" i="11"/>
  <c r="N38" i="11"/>
  <c r="O38" i="11"/>
  <c r="P38" i="11"/>
  <c r="Q38" i="11"/>
  <c r="C39" i="11"/>
  <c r="D39" i="11"/>
  <c r="E39" i="11"/>
  <c r="F39" i="11"/>
  <c r="G39" i="11"/>
  <c r="H39" i="11"/>
  <c r="I39" i="11"/>
  <c r="J39" i="11"/>
  <c r="K39" i="11"/>
  <c r="L39" i="11"/>
  <c r="M39" i="11"/>
  <c r="N39" i="11"/>
  <c r="O39" i="11"/>
  <c r="P39" i="11"/>
  <c r="C40" i="11"/>
  <c r="D40" i="11"/>
  <c r="E40" i="11"/>
  <c r="F40" i="11"/>
  <c r="G40" i="11"/>
  <c r="H40" i="11"/>
  <c r="I40" i="11"/>
  <c r="J40" i="11"/>
  <c r="K40" i="11"/>
  <c r="L40" i="11"/>
  <c r="M40" i="11"/>
  <c r="N40" i="11"/>
  <c r="O40" i="11"/>
  <c r="P40" i="11"/>
  <c r="C41" i="11"/>
  <c r="E41" i="11"/>
  <c r="E41" i="15"/>
  <c r="F41" i="11"/>
  <c r="G41" i="11"/>
  <c r="I41" i="11"/>
  <c r="J41" i="11"/>
  <c r="K41" i="11"/>
  <c r="M41" i="11"/>
  <c r="N41" i="11"/>
  <c r="O41" i="11"/>
  <c r="C42" i="11"/>
  <c r="D42" i="11"/>
  <c r="F42" i="11"/>
  <c r="G42" i="11"/>
  <c r="H42" i="11"/>
  <c r="J42" i="11"/>
  <c r="K42" i="11"/>
  <c r="L42" i="11"/>
  <c r="N42" i="11"/>
  <c r="O42" i="11"/>
  <c r="P42" i="11"/>
  <c r="C43" i="11"/>
  <c r="D43" i="11"/>
  <c r="E43" i="11"/>
  <c r="G43" i="11"/>
  <c r="H43" i="11"/>
  <c r="I43" i="11"/>
  <c r="K43" i="11"/>
  <c r="L43" i="11"/>
  <c r="M43" i="11"/>
  <c r="O43" i="11"/>
  <c r="P43" i="11"/>
  <c r="C44" i="11"/>
  <c r="E44" i="11"/>
  <c r="F44" i="11"/>
  <c r="G44" i="11"/>
  <c r="I44" i="11"/>
  <c r="J44" i="11"/>
  <c r="K44" i="11"/>
  <c r="M44" i="11"/>
  <c r="N44" i="11"/>
  <c r="O44" i="11"/>
  <c r="C45" i="11"/>
  <c r="D45" i="11"/>
  <c r="E45" i="11"/>
  <c r="F45" i="11"/>
  <c r="G45" i="11"/>
  <c r="H45" i="11"/>
  <c r="I45" i="11"/>
  <c r="J45" i="11"/>
  <c r="K45" i="11"/>
  <c r="L45" i="11"/>
  <c r="M45" i="11"/>
  <c r="N45" i="11"/>
  <c r="O45" i="11"/>
  <c r="P45" i="11"/>
  <c r="Q45" i="11"/>
  <c r="Q45" i="14"/>
  <c r="C46" i="11"/>
  <c r="D46" i="11"/>
  <c r="E46" i="11"/>
  <c r="F46" i="11"/>
  <c r="G46" i="11"/>
  <c r="H46" i="11"/>
  <c r="I46" i="11"/>
  <c r="J46" i="11"/>
  <c r="J46" i="15"/>
  <c r="K46" i="11"/>
  <c r="L46" i="11"/>
  <c r="M46" i="11"/>
  <c r="N46" i="11"/>
  <c r="N46" i="15"/>
  <c r="O46" i="11"/>
  <c r="P46" i="11"/>
  <c r="C47" i="11"/>
  <c r="D47" i="11"/>
  <c r="E47" i="11"/>
  <c r="F47" i="11"/>
  <c r="G47" i="11"/>
  <c r="G47" i="15"/>
  <c r="H47" i="11"/>
  <c r="I47" i="11"/>
  <c r="J47" i="11"/>
  <c r="K47" i="11"/>
  <c r="K47" i="15"/>
  <c r="L47" i="11"/>
  <c r="M47" i="11"/>
  <c r="N47" i="11"/>
  <c r="O47" i="11"/>
  <c r="O47" i="15"/>
  <c r="P47" i="11"/>
  <c r="D48" i="11"/>
  <c r="E48" i="11"/>
  <c r="F48" i="11"/>
  <c r="H48" i="11"/>
  <c r="I48" i="11"/>
  <c r="J48" i="11"/>
  <c r="L48" i="11"/>
  <c r="M48" i="11"/>
  <c r="N48" i="11"/>
  <c r="P48" i="11"/>
  <c r="C49" i="11"/>
  <c r="D49" i="11"/>
  <c r="F49" i="11"/>
  <c r="G49" i="11"/>
  <c r="H49" i="11"/>
  <c r="J49" i="11"/>
  <c r="K49" i="11"/>
  <c r="L49" i="11"/>
  <c r="N49" i="11"/>
  <c r="O49" i="11"/>
  <c r="P49" i="11"/>
  <c r="Q49" i="11"/>
  <c r="Q49" i="14"/>
  <c r="C50" i="11"/>
  <c r="D50" i="11"/>
  <c r="E50" i="11"/>
  <c r="G50" i="11"/>
  <c r="H50" i="11"/>
  <c r="I50" i="11"/>
  <c r="K50" i="11"/>
  <c r="L50" i="11"/>
  <c r="M50" i="11"/>
  <c r="O50" i="11"/>
  <c r="P50" i="11"/>
  <c r="D51" i="11"/>
  <c r="E51" i="11"/>
  <c r="F51" i="11"/>
  <c r="H51" i="11"/>
  <c r="I51" i="11"/>
  <c r="J51" i="11"/>
  <c r="L51" i="11"/>
  <c r="M51" i="11"/>
  <c r="N51" i="11"/>
  <c r="P51" i="11"/>
  <c r="C52" i="11"/>
  <c r="D52" i="11"/>
  <c r="E52" i="11"/>
  <c r="F52" i="11"/>
  <c r="G52" i="11"/>
  <c r="H52" i="11"/>
  <c r="I52" i="11"/>
  <c r="J52" i="11"/>
  <c r="K52" i="11"/>
  <c r="L52" i="11"/>
  <c r="M52" i="11"/>
  <c r="N52" i="11"/>
  <c r="O52" i="11"/>
  <c r="P52" i="11"/>
  <c r="C53" i="11"/>
  <c r="D53" i="11"/>
  <c r="E53" i="11"/>
  <c r="F53" i="11"/>
  <c r="G53" i="11"/>
  <c r="H53" i="11"/>
  <c r="I53" i="11"/>
  <c r="J53" i="11"/>
  <c r="K53" i="11"/>
  <c r="L53" i="11"/>
  <c r="M53" i="11"/>
  <c r="N53" i="11"/>
  <c r="O53" i="11"/>
  <c r="P53" i="11"/>
  <c r="Q53" i="11"/>
  <c r="Q53" i="14"/>
  <c r="C54" i="11"/>
  <c r="D54" i="11"/>
  <c r="E54" i="11"/>
  <c r="F54" i="11"/>
  <c r="G54" i="11"/>
  <c r="H54" i="11"/>
  <c r="I54" i="11"/>
  <c r="J54" i="11"/>
  <c r="K54" i="11"/>
  <c r="L54" i="11"/>
  <c r="M54" i="11"/>
  <c r="N54" i="11"/>
  <c r="O54" i="11"/>
  <c r="P54" i="11"/>
  <c r="C55" i="11"/>
  <c r="D55" i="11"/>
  <c r="E55" i="11"/>
  <c r="F55" i="11"/>
  <c r="G55" i="11"/>
  <c r="H55" i="11"/>
  <c r="I55" i="11"/>
  <c r="J55" i="11"/>
  <c r="K55" i="11"/>
  <c r="L55" i="11"/>
  <c r="M55" i="11"/>
  <c r="N55" i="11"/>
  <c r="O55" i="11"/>
  <c r="P55" i="11"/>
  <c r="C56" i="11"/>
  <c r="D56" i="11"/>
  <c r="E56" i="11"/>
  <c r="F56" i="11"/>
  <c r="G56" i="11"/>
  <c r="H56" i="11"/>
  <c r="I56" i="11"/>
  <c r="J56" i="11"/>
  <c r="K56" i="11"/>
  <c r="L56" i="11"/>
  <c r="M56" i="11"/>
  <c r="N56" i="11"/>
  <c r="O56" i="11"/>
  <c r="P56" i="11"/>
  <c r="C57" i="11"/>
  <c r="D57" i="11"/>
  <c r="E57" i="11"/>
  <c r="F57" i="11"/>
  <c r="G57" i="11"/>
  <c r="H57" i="11"/>
  <c r="H57" i="15"/>
  <c r="I57" i="11"/>
  <c r="J57" i="11"/>
  <c r="K57" i="11"/>
  <c r="L57" i="11"/>
  <c r="L57" i="15"/>
  <c r="M57" i="11"/>
  <c r="N57" i="11"/>
  <c r="O57" i="11"/>
  <c r="P57" i="11"/>
  <c r="P57" i="15"/>
  <c r="C58" i="11"/>
  <c r="D58" i="11"/>
  <c r="E58" i="11"/>
  <c r="E58" i="15"/>
  <c r="F58" i="11"/>
  <c r="G58" i="11"/>
  <c r="H58" i="11"/>
  <c r="I58" i="11"/>
  <c r="I58" i="15"/>
  <c r="J58" i="11"/>
  <c r="K58" i="11"/>
  <c r="L58" i="11"/>
  <c r="M58" i="11"/>
  <c r="M58" i="15"/>
  <c r="N58" i="11"/>
  <c r="O58" i="11"/>
  <c r="P58" i="11"/>
  <c r="Q58" i="11"/>
  <c r="Q58" i="14"/>
  <c r="C59" i="11"/>
  <c r="D59" i="11"/>
  <c r="E59" i="11"/>
  <c r="F59" i="11"/>
  <c r="F59" i="15"/>
  <c r="G59" i="11"/>
  <c r="H59" i="11"/>
  <c r="I59" i="11"/>
  <c r="J59" i="11"/>
  <c r="J59" i="15"/>
  <c r="K59" i="11"/>
  <c r="L59" i="11"/>
  <c r="M59" i="11"/>
  <c r="N59" i="11"/>
  <c r="N59" i="15"/>
  <c r="O59" i="11"/>
  <c r="P59" i="11"/>
  <c r="C60" i="11"/>
  <c r="D60" i="11"/>
  <c r="D60" i="15"/>
  <c r="E60" i="11"/>
  <c r="F60" i="11"/>
  <c r="G60" i="11"/>
  <c r="G60" i="15"/>
  <c r="H60" i="11"/>
  <c r="I60" i="11"/>
  <c r="J60" i="11"/>
  <c r="K60" i="11"/>
  <c r="K60" i="15"/>
  <c r="L60" i="11"/>
  <c r="M60" i="11"/>
  <c r="N60" i="11"/>
  <c r="O60" i="11"/>
  <c r="O60" i="15"/>
  <c r="P60" i="11"/>
  <c r="P60" i="15"/>
  <c r="C61" i="11"/>
  <c r="D61" i="11"/>
  <c r="E61" i="11"/>
  <c r="E61" i="15"/>
  <c r="F61" i="11"/>
  <c r="G61" i="11"/>
  <c r="H61" i="11"/>
  <c r="I61" i="11"/>
  <c r="I61" i="15"/>
  <c r="J61" i="11"/>
  <c r="K61" i="11"/>
  <c r="L61" i="11"/>
  <c r="M61" i="11"/>
  <c r="M61" i="15"/>
  <c r="N61" i="11"/>
  <c r="O61" i="11"/>
  <c r="P61" i="11"/>
  <c r="Q61" i="11"/>
  <c r="Q61" i="14"/>
  <c r="C62" i="11"/>
  <c r="D62" i="11"/>
  <c r="E62" i="11"/>
  <c r="F62" i="11"/>
  <c r="G62" i="11"/>
  <c r="H62" i="11"/>
  <c r="I62" i="11"/>
  <c r="J62" i="11"/>
  <c r="J62" i="15"/>
  <c r="K62" i="11"/>
  <c r="L62" i="11"/>
  <c r="M62" i="11"/>
  <c r="N62" i="11"/>
  <c r="N62" i="15"/>
  <c r="O62" i="11"/>
  <c r="P62" i="11"/>
  <c r="C63" i="11"/>
  <c r="D63" i="11"/>
  <c r="E63" i="11"/>
  <c r="F63" i="11"/>
  <c r="G63" i="11"/>
  <c r="H63" i="11"/>
  <c r="I63" i="11"/>
  <c r="J63" i="11"/>
  <c r="K63" i="11"/>
  <c r="L63" i="11"/>
  <c r="M63" i="11"/>
  <c r="N63" i="11"/>
  <c r="O63" i="11"/>
  <c r="P63" i="11"/>
  <c r="C64" i="11"/>
  <c r="D64" i="11"/>
  <c r="E64" i="11"/>
  <c r="F64" i="11"/>
  <c r="G64" i="11"/>
  <c r="H64" i="11"/>
  <c r="I64" i="11"/>
  <c r="J64" i="11"/>
  <c r="K64" i="11"/>
  <c r="L64" i="11"/>
  <c r="M64" i="11"/>
  <c r="N64" i="11"/>
  <c r="O64" i="11"/>
  <c r="P64" i="11"/>
  <c r="C65" i="11"/>
  <c r="D65" i="11"/>
  <c r="E65" i="11"/>
  <c r="E65" i="15"/>
  <c r="F65" i="11"/>
  <c r="G65" i="11"/>
  <c r="H65" i="11"/>
  <c r="H65" i="15"/>
  <c r="I65" i="11"/>
  <c r="I65" i="15"/>
  <c r="J65" i="11"/>
  <c r="K65" i="11"/>
  <c r="L65" i="11"/>
  <c r="L65" i="15"/>
  <c r="M65" i="11"/>
  <c r="M65" i="15"/>
  <c r="N65" i="11"/>
  <c r="O65" i="11"/>
  <c r="P65" i="11"/>
  <c r="P65" i="15"/>
  <c r="C66" i="11"/>
  <c r="D66" i="11"/>
  <c r="E66" i="11"/>
  <c r="F66" i="11"/>
  <c r="F66" i="15"/>
  <c r="G66" i="11"/>
  <c r="H66" i="11"/>
  <c r="I66" i="11"/>
  <c r="I66" i="15"/>
  <c r="J66" i="11"/>
  <c r="J66" i="15"/>
  <c r="K66" i="11"/>
  <c r="L66" i="11"/>
  <c r="M66" i="11"/>
  <c r="M66" i="15"/>
  <c r="N66" i="11"/>
  <c r="N66" i="15"/>
  <c r="O66" i="11"/>
  <c r="P66" i="11"/>
  <c r="Q66" i="11"/>
  <c r="Q66" i="14"/>
  <c r="C67" i="11"/>
  <c r="D67" i="11"/>
  <c r="E67" i="11"/>
  <c r="F67" i="11"/>
  <c r="F67" i="15"/>
  <c r="G67" i="11"/>
  <c r="G67" i="15"/>
  <c r="H67" i="11"/>
  <c r="I67" i="11"/>
  <c r="J67" i="11"/>
  <c r="J67" i="15"/>
  <c r="K67" i="11"/>
  <c r="K67" i="15"/>
  <c r="L67" i="11"/>
  <c r="M67" i="11"/>
  <c r="N67" i="11"/>
  <c r="N67" i="15"/>
  <c r="O67" i="11"/>
  <c r="O67" i="15"/>
  <c r="P67" i="11"/>
  <c r="C68" i="11"/>
  <c r="D68" i="11"/>
  <c r="D68" i="15"/>
  <c r="E68" i="11"/>
  <c r="F68" i="11"/>
  <c r="G68" i="11"/>
  <c r="H68" i="11"/>
  <c r="H68" i="15"/>
  <c r="I68" i="11"/>
  <c r="J68" i="11"/>
  <c r="K68" i="11"/>
  <c r="L68" i="11"/>
  <c r="L68" i="15"/>
  <c r="M68" i="11"/>
  <c r="N68" i="11"/>
  <c r="O68" i="11"/>
  <c r="P68" i="11"/>
  <c r="P68" i="15"/>
  <c r="C69" i="11"/>
  <c r="D69" i="11"/>
  <c r="E69" i="11"/>
  <c r="F69" i="11"/>
  <c r="G69" i="11"/>
  <c r="H69" i="11"/>
  <c r="I69" i="11"/>
  <c r="J69" i="11"/>
  <c r="K69" i="11"/>
  <c r="L69" i="11"/>
  <c r="M69" i="11"/>
  <c r="N69" i="11"/>
  <c r="O69" i="11"/>
  <c r="P69" i="11"/>
  <c r="Q69" i="11"/>
  <c r="Q69" i="14"/>
  <c r="C70" i="11"/>
  <c r="D70" i="11"/>
  <c r="E70" i="11"/>
  <c r="F70" i="11"/>
  <c r="G70" i="11"/>
  <c r="H70" i="11"/>
  <c r="I70" i="11"/>
  <c r="J70" i="11"/>
  <c r="K70" i="11"/>
  <c r="L70" i="11"/>
  <c r="M70" i="11"/>
  <c r="N70" i="11"/>
  <c r="O70" i="11"/>
  <c r="P70" i="11"/>
  <c r="C71" i="11"/>
  <c r="D71" i="11"/>
  <c r="E71" i="11"/>
  <c r="F71" i="11"/>
  <c r="G71" i="11"/>
  <c r="H71" i="11"/>
  <c r="I71" i="11"/>
  <c r="J71" i="11"/>
  <c r="K71" i="11"/>
  <c r="L71" i="11"/>
  <c r="M71" i="11"/>
  <c r="N71" i="11"/>
  <c r="O71" i="11"/>
  <c r="P71" i="11"/>
  <c r="C72" i="11"/>
  <c r="D72" i="11"/>
  <c r="E72" i="11"/>
  <c r="F72" i="11"/>
  <c r="G72" i="11"/>
  <c r="G72" i="15"/>
  <c r="H72" i="11"/>
  <c r="I72" i="11"/>
  <c r="J72" i="11"/>
  <c r="K72" i="11"/>
  <c r="K72" i="15"/>
  <c r="L72" i="11"/>
  <c r="M72" i="11"/>
  <c r="N72" i="11"/>
  <c r="O72" i="11"/>
  <c r="O72" i="15"/>
  <c r="P72" i="11"/>
  <c r="C73" i="11"/>
  <c r="E73" i="11"/>
  <c r="F73" i="11"/>
  <c r="G73" i="11"/>
  <c r="I73" i="11"/>
  <c r="J73" i="11"/>
  <c r="K73" i="11"/>
  <c r="M73" i="11"/>
  <c r="M73" i="15"/>
  <c r="N73" i="11"/>
  <c r="O73" i="11"/>
  <c r="Q73" i="11"/>
  <c r="Q73" i="14"/>
  <c r="C74" i="11"/>
  <c r="D74" i="11"/>
  <c r="F74" i="11"/>
  <c r="G74" i="11"/>
  <c r="H74" i="11"/>
  <c r="J74" i="11"/>
  <c r="K74" i="11"/>
  <c r="L74" i="11"/>
  <c r="N74" i="11"/>
  <c r="N74" i="15"/>
  <c r="O74" i="11"/>
  <c r="P74" i="11"/>
  <c r="C75" i="11"/>
  <c r="D75" i="11"/>
  <c r="E75" i="11"/>
  <c r="G75" i="11"/>
  <c r="H75" i="11"/>
  <c r="I75" i="11"/>
  <c r="K75" i="11"/>
  <c r="L75" i="11"/>
  <c r="M75" i="11"/>
  <c r="O75" i="11"/>
  <c r="O75" i="15"/>
  <c r="P75" i="11"/>
  <c r="C76" i="11"/>
  <c r="E76" i="11"/>
  <c r="F76" i="11"/>
  <c r="G76" i="11"/>
  <c r="I76" i="11"/>
  <c r="J76" i="11"/>
  <c r="K76" i="11"/>
  <c r="M76" i="11"/>
  <c r="N76" i="11"/>
  <c r="O76" i="11"/>
  <c r="O76" i="15"/>
  <c r="C77" i="11"/>
  <c r="D77" i="11"/>
  <c r="E77" i="11"/>
  <c r="F77" i="11"/>
  <c r="G77" i="11"/>
  <c r="H77" i="11"/>
  <c r="I77" i="11"/>
  <c r="J77" i="11"/>
  <c r="K77" i="11"/>
  <c r="L77" i="11"/>
  <c r="M77" i="11"/>
  <c r="N77" i="11"/>
  <c r="O77" i="11"/>
  <c r="P77" i="11"/>
  <c r="Q77" i="11"/>
  <c r="Q77" i="14"/>
  <c r="C78" i="11"/>
  <c r="D78" i="11"/>
  <c r="E78" i="11"/>
  <c r="F78" i="11"/>
  <c r="G78" i="11"/>
  <c r="H78" i="11"/>
  <c r="I78" i="11"/>
  <c r="J78" i="11"/>
  <c r="K78" i="11"/>
  <c r="L78" i="11"/>
  <c r="M78" i="11"/>
  <c r="N78" i="11"/>
  <c r="O78" i="11"/>
  <c r="P78" i="11"/>
  <c r="C79" i="11"/>
  <c r="D79" i="11"/>
  <c r="E79" i="11"/>
  <c r="F79" i="11"/>
  <c r="G79" i="11"/>
  <c r="H79" i="11"/>
  <c r="I79" i="11"/>
  <c r="J79" i="11"/>
  <c r="K79" i="11"/>
  <c r="L79" i="11"/>
  <c r="M79" i="11"/>
  <c r="N79" i="11"/>
  <c r="O79" i="11"/>
  <c r="P79" i="11"/>
  <c r="D80" i="11"/>
  <c r="E80" i="11"/>
  <c r="F80" i="11"/>
  <c r="H80" i="11"/>
  <c r="I80" i="11"/>
  <c r="J80" i="11"/>
  <c r="L80" i="11"/>
  <c r="M80" i="11"/>
  <c r="N80" i="11"/>
  <c r="P80" i="11"/>
  <c r="C81" i="11"/>
  <c r="D81" i="11"/>
  <c r="F81" i="11"/>
  <c r="G81" i="11"/>
  <c r="H81" i="11"/>
  <c r="J81" i="11"/>
  <c r="K81" i="11"/>
  <c r="L81" i="11"/>
  <c r="N81" i="11"/>
  <c r="O81" i="11"/>
  <c r="P81" i="11"/>
  <c r="P81" i="15"/>
  <c r="C82" i="11"/>
  <c r="D82" i="11"/>
  <c r="E82" i="11"/>
  <c r="G82" i="11"/>
  <c r="H82" i="11"/>
  <c r="I82" i="11"/>
  <c r="K82" i="11"/>
  <c r="L82" i="11"/>
  <c r="M82" i="11"/>
  <c r="O82" i="11"/>
  <c r="P82" i="11"/>
  <c r="D83" i="11"/>
  <c r="E83" i="11"/>
  <c r="F83" i="11"/>
  <c r="H83" i="11"/>
  <c r="I83" i="11"/>
  <c r="J83" i="11"/>
  <c r="L83" i="11"/>
  <c r="M83" i="11"/>
  <c r="N83" i="11"/>
  <c r="P83" i="11"/>
  <c r="C84" i="11"/>
  <c r="D84" i="11"/>
  <c r="D84" i="15"/>
  <c r="E84" i="11"/>
  <c r="F84" i="11"/>
  <c r="G84" i="11"/>
  <c r="H84" i="11"/>
  <c r="H84" i="15"/>
  <c r="I84" i="11"/>
  <c r="J84" i="11"/>
  <c r="K84" i="11"/>
  <c r="L84" i="11"/>
  <c r="L84" i="15"/>
  <c r="M84" i="11"/>
  <c r="N84" i="11"/>
  <c r="O84" i="11"/>
  <c r="P84" i="11"/>
  <c r="P84" i="15"/>
  <c r="C85" i="11"/>
  <c r="D85" i="11"/>
  <c r="E85" i="11"/>
  <c r="F85" i="11"/>
  <c r="G85" i="11"/>
  <c r="H85" i="11"/>
  <c r="I85" i="11"/>
  <c r="J85" i="11"/>
  <c r="K85" i="11"/>
  <c r="L85" i="11"/>
  <c r="M85" i="11"/>
  <c r="N85" i="11"/>
  <c r="O85" i="11"/>
  <c r="P85" i="11"/>
  <c r="Q85" i="11"/>
  <c r="Q85" i="14"/>
  <c r="C86" i="11"/>
  <c r="D86" i="11"/>
  <c r="E86" i="11"/>
  <c r="F86" i="11"/>
  <c r="G86" i="11"/>
  <c r="H86" i="11"/>
  <c r="I86" i="11"/>
  <c r="J86" i="11"/>
  <c r="K86" i="11"/>
  <c r="L86" i="11"/>
  <c r="M86" i="11"/>
  <c r="N86" i="11"/>
  <c r="O86" i="11"/>
  <c r="P86" i="11"/>
  <c r="Q86" i="11"/>
  <c r="Q86" i="14"/>
  <c r="C87" i="11"/>
  <c r="D87" i="11"/>
  <c r="E87" i="11"/>
  <c r="F87" i="11"/>
  <c r="G87" i="11"/>
  <c r="H87" i="11"/>
  <c r="I87" i="11"/>
  <c r="J87" i="11"/>
  <c r="K87" i="11"/>
  <c r="L87" i="11"/>
  <c r="M87" i="11"/>
  <c r="N87" i="11"/>
  <c r="O87" i="11"/>
  <c r="P87" i="11"/>
  <c r="Q30" i="14"/>
  <c r="Q38" i="14"/>
  <c r="D9" i="15"/>
  <c r="F9" i="15"/>
  <c r="H9" i="15"/>
  <c r="J9" i="15"/>
  <c r="L9" i="15"/>
  <c r="N9" i="15"/>
  <c r="O9" i="15"/>
  <c r="C10" i="15"/>
  <c r="D10" i="15"/>
  <c r="G10" i="15"/>
  <c r="H10" i="15"/>
  <c r="K10" i="15"/>
  <c r="L10" i="15"/>
  <c r="O10" i="15"/>
  <c r="P10" i="15"/>
  <c r="D11" i="15"/>
  <c r="E11" i="15"/>
  <c r="F11" i="15"/>
  <c r="H11" i="15"/>
  <c r="I11" i="15"/>
  <c r="L11" i="15"/>
  <c r="M11" i="15"/>
  <c r="P11" i="15"/>
  <c r="E12" i="15"/>
  <c r="F12" i="15"/>
  <c r="G12" i="15"/>
  <c r="I12" i="15"/>
  <c r="J12" i="15"/>
  <c r="K12" i="15"/>
  <c r="M12" i="15"/>
  <c r="N12" i="15"/>
  <c r="O12" i="15"/>
  <c r="C13" i="15"/>
  <c r="D13" i="15"/>
  <c r="F13" i="15"/>
  <c r="G13" i="15"/>
  <c r="H13" i="15"/>
  <c r="J13" i="15"/>
  <c r="K13" i="15"/>
  <c r="L13" i="15"/>
  <c r="N13" i="15"/>
  <c r="O13" i="15"/>
  <c r="P13" i="15"/>
  <c r="Q13" i="15"/>
  <c r="C14" i="15"/>
  <c r="D14" i="15"/>
  <c r="E14" i="15"/>
  <c r="F14" i="15"/>
  <c r="G14" i="15"/>
  <c r="H14" i="15"/>
  <c r="I14" i="15"/>
  <c r="J14" i="15"/>
  <c r="K14" i="15"/>
  <c r="L14" i="15"/>
  <c r="M14" i="15"/>
  <c r="N14" i="15"/>
  <c r="O14" i="15"/>
  <c r="P14" i="15"/>
  <c r="C15" i="15"/>
  <c r="D15" i="15"/>
  <c r="E15" i="15"/>
  <c r="F15" i="15"/>
  <c r="G15" i="15"/>
  <c r="H15" i="15"/>
  <c r="I15" i="15"/>
  <c r="J15" i="15"/>
  <c r="K15" i="15"/>
  <c r="L15" i="15"/>
  <c r="M15" i="15"/>
  <c r="N15" i="15"/>
  <c r="O15" i="15"/>
  <c r="P15" i="15"/>
  <c r="D16" i="15"/>
  <c r="E16" i="15"/>
  <c r="F16" i="15"/>
  <c r="H16" i="15"/>
  <c r="I16" i="15"/>
  <c r="J16" i="15"/>
  <c r="L16" i="15"/>
  <c r="M16" i="15"/>
  <c r="N16" i="15"/>
  <c r="P16" i="15"/>
  <c r="C17" i="15"/>
  <c r="D17" i="15"/>
  <c r="F17" i="15"/>
  <c r="G17" i="15"/>
  <c r="H17" i="15"/>
  <c r="J17" i="15"/>
  <c r="K17" i="15"/>
  <c r="L17" i="15"/>
  <c r="N17" i="15"/>
  <c r="O17" i="15"/>
  <c r="P17" i="15"/>
  <c r="C18" i="15"/>
  <c r="D18" i="15"/>
  <c r="E18" i="15"/>
  <c r="G18" i="15"/>
  <c r="H18" i="15"/>
  <c r="I18" i="15"/>
  <c r="K18" i="15"/>
  <c r="L18" i="15"/>
  <c r="M18" i="15"/>
  <c r="O18" i="15"/>
  <c r="P18" i="15"/>
  <c r="D19" i="15"/>
  <c r="E19" i="15"/>
  <c r="F19" i="15"/>
  <c r="H19" i="15"/>
  <c r="I19" i="15"/>
  <c r="J19" i="15"/>
  <c r="L19" i="15"/>
  <c r="M19" i="15"/>
  <c r="N19" i="15"/>
  <c r="P19" i="15"/>
  <c r="C20" i="15"/>
  <c r="D20" i="15"/>
  <c r="E20" i="15"/>
  <c r="F20" i="15"/>
  <c r="G20" i="15"/>
  <c r="H20" i="15"/>
  <c r="I20" i="15"/>
  <c r="J20" i="15"/>
  <c r="K20" i="15"/>
  <c r="L20" i="15"/>
  <c r="M20" i="15"/>
  <c r="N20" i="15"/>
  <c r="O20" i="15"/>
  <c r="P20" i="15"/>
  <c r="C21" i="15"/>
  <c r="D21" i="15"/>
  <c r="E21" i="15"/>
  <c r="F21" i="15"/>
  <c r="G21" i="15"/>
  <c r="H21" i="15"/>
  <c r="I21" i="15"/>
  <c r="J21" i="15"/>
  <c r="K21" i="15"/>
  <c r="L21" i="15"/>
  <c r="M21" i="15"/>
  <c r="N21" i="15"/>
  <c r="O21" i="15"/>
  <c r="P21" i="15"/>
  <c r="Q21" i="15"/>
  <c r="C22" i="15"/>
  <c r="D22" i="15"/>
  <c r="E22" i="15"/>
  <c r="F22" i="15"/>
  <c r="G22" i="15"/>
  <c r="H22" i="15"/>
  <c r="I22" i="15"/>
  <c r="J22" i="15"/>
  <c r="K22" i="15"/>
  <c r="L22" i="15"/>
  <c r="M22" i="15"/>
  <c r="N22" i="15"/>
  <c r="O22" i="15"/>
  <c r="P22" i="15"/>
  <c r="Q22" i="15"/>
  <c r="C23" i="15"/>
  <c r="D23" i="15"/>
  <c r="E23" i="15"/>
  <c r="F23" i="15"/>
  <c r="G23" i="15"/>
  <c r="H23" i="15"/>
  <c r="I23" i="15"/>
  <c r="J23" i="15"/>
  <c r="K23" i="15"/>
  <c r="L23" i="15"/>
  <c r="M23" i="15"/>
  <c r="N23" i="15"/>
  <c r="O23" i="15"/>
  <c r="P23" i="15"/>
  <c r="C24" i="15"/>
  <c r="D24" i="15"/>
  <c r="E24" i="15"/>
  <c r="F24" i="15"/>
  <c r="G24" i="15"/>
  <c r="H24" i="15"/>
  <c r="I24" i="15"/>
  <c r="J24" i="15"/>
  <c r="K24" i="15"/>
  <c r="L24" i="15"/>
  <c r="M24" i="15"/>
  <c r="N24" i="15"/>
  <c r="O24" i="15"/>
  <c r="P24" i="15"/>
  <c r="C25" i="15"/>
  <c r="D25" i="15"/>
  <c r="F25" i="15"/>
  <c r="G25" i="15"/>
  <c r="H25" i="15"/>
  <c r="J25" i="15"/>
  <c r="K25" i="15"/>
  <c r="L25" i="15"/>
  <c r="N25" i="15"/>
  <c r="O25" i="15"/>
  <c r="P25" i="15"/>
  <c r="C26" i="15"/>
  <c r="D26" i="15"/>
  <c r="E26" i="15"/>
  <c r="G26" i="15"/>
  <c r="H26" i="15"/>
  <c r="I26" i="15"/>
  <c r="K26" i="15"/>
  <c r="L26" i="15"/>
  <c r="M26" i="15"/>
  <c r="O26" i="15"/>
  <c r="P26" i="15"/>
  <c r="D27" i="15"/>
  <c r="E27" i="15"/>
  <c r="F27" i="15"/>
  <c r="H27" i="15"/>
  <c r="I27" i="15"/>
  <c r="J27" i="15"/>
  <c r="L27" i="15"/>
  <c r="M27" i="15"/>
  <c r="N27" i="15"/>
  <c r="P27" i="15"/>
  <c r="C28" i="15"/>
  <c r="D28" i="15"/>
  <c r="E28" i="15"/>
  <c r="F28" i="15"/>
  <c r="G28" i="15"/>
  <c r="H28" i="15"/>
  <c r="I28" i="15"/>
  <c r="J28" i="15"/>
  <c r="K28" i="15"/>
  <c r="L28" i="15"/>
  <c r="M28" i="15"/>
  <c r="N28" i="15"/>
  <c r="O28" i="15"/>
  <c r="P28" i="15"/>
  <c r="C29" i="15"/>
  <c r="D29" i="15"/>
  <c r="E29" i="15"/>
  <c r="F29" i="15"/>
  <c r="G29" i="15"/>
  <c r="H29" i="15"/>
  <c r="I29" i="15"/>
  <c r="J29" i="15"/>
  <c r="K29" i="15"/>
  <c r="L29" i="15"/>
  <c r="M29" i="15"/>
  <c r="N29" i="15"/>
  <c r="O29" i="15"/>
  <c r="P29" i="15"/>
  <c r="Q29" i="15"/>
  <c r="C30" i="15"/>
  <c r="D30" i="15"/>
  <c r="E30" i="15"/>
  <c r="F30" i="15"/>
  <c r="G30" i="15"/>
  <c r="H30" i="15"/>
  <c r="I30" i="15"/>
  <c r="J30" i="15"/>
  <c r="K30" i="15"/>
  <c r="L30" i="15"/>
  <c r="M30" i="15"/>
  <c r="N30" i="15"/>
  <c r="O30" i="15"/>
  <c r="P30" i="15"/>
  <c r="C31" i="15"/>
  <c r="D31" i="15"/>
  <c r="E31" i="15"/>
  <c r="F31" i="15"/>
  <c r="G31" i="15"/>
  <c r="H31" i="15"/>
  <c r="I31" i="15"/>
  <c r="J31" i="15"/>
  <c r="K31" i="15"/>
  <c r="L31" i="15"/>
  <c r="M31" i="15"/>
  <c r="N31" i="15"/>
  <c r="O31" i="15"/>
  <c r="P31" i="15"/>
  <c r="C32" i="15"/>
  <c r="D32" i="15"/>
  <c r="E32" i="15"/>
  <c r="F32" i="15"/>
  <c r="G32" i="15"/>
  <c r="H32" i="15"/>
  <c r="I32" i="15"/>
  <c r="J32" i="15"/>
  <c r="K32" i="15"/>
  <c r="L32" i="15"/>
  <c r="M32" i="15"/>
  <c r="N32" i="15"/>
  <c r="O32" i="15"/>
  <c r="P32" i="15"/>
  <c r="Q32" i="15"/>
  <c r="C33" i="15"/>
  <c r="D33" i="15"/>
  <c r="F33" i="15"/>
  <c r="G33" i="15"/>
  <c r="H33" i="15"/>
  <c r="J33" i="15"/>
  <c r="K33" i="15"/>
  <c r="L33" i="15"/>
  <c r="N33" i="15"/>
  <c r="O33" i="15"/>
  <c r="P33" i="15"/>
  <c r="C34" i="15"/>
  <c r="D34" i="15"/>
  <c r="E34" i="15"/>
  <c r="G34" i="15"/>
  <c r="H34" i="15"/>
  <c r="I34" i="15"/>
  <c r="K34" i="15"/>
  <c r="L34" i="15"/>
  <c r="M34" i="15"/>
  <c r="O34" i="15"/>
  <c r="P34" i="15"/>
  <c r="D35" i="15"/>
  <c r="E35" i="15"/>
  <c r="F35" i="15"/>
  <c r="H35" i="15"/>
  <c r="I35" i="15"/>
  <c r="J35" i="15"/>
  <c r="L35" i="15"/>
  <c r="M35" i="15"/>
  <c r="N35" i="15"/>
  <c r="P35" i="15"/>
  <c r="C36" i="15"/>
  <c r="D36" i="15"/>
  <c r="E36" i="15"/>
  <c r="F36" i="15"/>
  <c r="G36" i="15"/>
  <c r="H36" i="15"/>
  <c r="I36" i="15"/>
  <c r="J36" i="15"/>
  <c r="K36" i="15"/>
  <c r="L36" i="15"/>
  <c r="M36" i="15"/>
  <c r="N36" i="15"/>
  <c r="O36" i="15"/>
  <c r="P36" i="15"/>
  <c r="C37" i="15"/>
  <c r="D37" i="15"/>
  <c r="E37" i="15"/>
  <c r="F37" i="15"/>
  <c r="G37" i="15"/>
  <c r="H37" i="15"/>
  <c r="I37" i="15"/>
  <c r="J37" i="15"/>
  <c r="K37" i="15"/>
  <c r="L37" i="15"/>
  <c r="M37" i="15"/>
  <c r="N37" i="15"/>
  <c r="O37" i="15"/>
  <c r="P37" i="15"/>
  <c r="C38" i="15"/>
  <c r="D38" i="15"/>
  <c r="E38" i="15"/>
  <c r="F38" i="15"/>
  <c r="G38" i="15"/>
  <c r="H38" i="15"/>
  <c r="I38" i="15"/>
  <c r="J38" i="15"/>
  <c r="K38" i="15"/>
  <c r="L38" i="15"/>
  <c r="M38" i="15"/>
  <c r="N38" i="15"/>
  <c r="O38" i="15"/>
  <c r="P38" i="15"/>
  <c r="Q38" i="15"/>
  <c r="C39" i="15"/>
  <c r="D39" i="15"/>
  <c r="E39" i="15"/>
  <c r="F39" i="15"/>
  <c r="G39" i="15"/>
  <c r="H39" i="15"/>
  <c r="I39" i="15"/>
  <c r="J39" i="15"/>
  <c r="K39" i="15"/>
  <c r="L39" i="15"/>
  <c r="M39" i="15"/>
  <c r="N39" i="15"/>
  <c r="O39" i="15"/>
  <c r="P39" i="15"/>
  <c r="C40" i="15"/>
  <c r="D40" i="15"/>
  <c r="E40" i="15"/>
  <c r="F40" i="15"/>
  <c r="G40" i="15"/>
  <c r="H40" i="15"/>
  <c r="I40" i="15"/>
  <c r="J40" i="15"/>
  <c r="K40" i="15"/>
  <c r="L40" i="15"/>
  <c r="M40" i="15"/>
  <c r="N40" i="15"/>
  <c r="O40" i="15"/>
  <c r="P40" i="15"/>
  <c r="C41" i="15"/>
  <c r="F41" i="15"/>
  <c r="G41" i="15"/>
  <c r="I41" i="15"/>
  <c r="J41" i="15"/>
  <c r="K41" i="15"/>
  <c r="M41" i="15"/>
  <c r="N41" i="15"/>
  <c r="O41" i="15"/>
  <c r="C42" i="15"/>
  <c r="D42" i="15"/>
  <c r="F42" i="15"/>
  <c r="G42" i="15"/>
  <c r="H42" i="15"/>
  <c r="J42" i="15"/>
  <c r="K42" i="15"/>
  <c r="L42" i="15"/>
  <c r="N42" i="15"/>
  <c r="O42" i="15"/>
  <c r="P42" i="15"/>
  <c r="C43" i="15"/>
  <c r="D43" i="15"/>
  <c r="E43" i="15"/>
  <c r="G43" i="15"/>
  <c r="H43" i="15"/>
  <c r="I43" i="15"/>
  <c r="K43" i="15"/>
  <c r="L43" i="15"/>
  <c r="M43" i="15"/>
  <c r="O43" i="15"/>
  <c r="P43" i="15"/>
  <c r="C44" i="15"/>
  <c r="E44" i="15"/>
  <c r="F44" i="15"/>
  <c r="G44" i="15"/>
  <c r="I44" i="15"/>
  <c r="J44" i="15"/>
  <c r="K44" i="15"/>
  <c r="M44" i="15"/>
  <c r="N44" i="15"/>
  <c r="O44" i="15"/>
  <c r="C45" i="15"/>
  <c r="D45" i="15"/>
  <c r="E45" i="15"/>
  <c r="F45" i="15"/>
  <c r="G45" i="15"/>
  <c r="H45" i="15"/>
  <c r="I45" i="15"/>
  <c r="J45" i="15"/>
  <c r="K45" i="15"/>
  <c r="L45" i="15"/>
  <c r="M45" i="15"/>
  <c r="N45" i="15"/>
  <c r="O45" i="15"/>
  <c r="P45" i="15"/>
  <c r="Q45" i="15"/>
  <c r="C46" i="15"/>
  <c r="D46" i="15"/>
  <c r="E46" i="15"/>
  <c r="G46" i="15"/>
  <c r="H46" i="15"/>
  <c r="I46" i="15"/>
  <c r="K46" i="15"/>
  <c r="L46" i="15"/>
  <c r="M46" i="15"/>
  <c r="O46" i="15"/>
  <c r="P46" i="15"/>
  <c r="D47" i="15"/>
  <c r="E47" i="15"/>
  <c r="F47" i="15"/>
  <c r="H47" i="15"/>
  <c r="I47" i="15"/>
  <c r="J47" i="15"/>
  <c r="L47" i="15"/>
  <c r="M47" i="15"/>
  <c r="N47" i="15"/>
  <c r="P47" i="15"/>
  <c r="D48" i="15"/>
  <c r="E48" i="15"/>
  <c r="F48" i="15"/>
  <c r="G48" i="15"/>
  <c r="H48" i="15"/>
  <c r="I48" i="15"/>
  <c r="J48" i="15"/>
  <c r="K48" i="15"/>
  <c r="L48" i="15"/>
  <c r="M48" i="15"/>
  <c r="N48" i="15"/>
  <c r="O48" i="15"/>
  <c r="P48" i="15"/>
  <c r="C49" i="15"/>
  <c r="F49" i="15"/>
  <c r="G49" i="15"/>
  <c r="H49" i="15"/>
  <c r="J49" i="15"/>
  <c r="K49" i="15"/>
  <c r="L49" i="15"/>
  <c r="N49" i="15"/>
  <c r="O49" i="15"/>
  <c r="P49" i="15"/>
  <c r="C50" i="15"/>
  <c r="D50" i="15"/>
  <c r="G50" i="15"/>
  <c r="H50" i="15"/>
  <c r="I50" i="15"/>
  <c r="K50" i="15"/>
  <c r="L50" i="15"/>
  <c r="M50" i="15"/>
  <c r="O50" i="15"/>
  <c r="P50" i="15"/>
  <c r="D51" i="15"/>
  <c r="E51" i="15"/>
  <c r="F51" i="15"/>
  <c r="H51" i="15"/>
  <c r="I51" i="15"/>
  <c r="J51" i="15"/>
  <c r="L51" i="15"/>
  <c r="M51" i="15"/>
  <c r="N51" i="15"/>
  <c r="P51" i="15"/>
  <c r="C52" i="15"/>
  <c r="D52" i="15"/>
  <c r="E52" i="15"/>
  <c r="F52" i="15"/>
  <c r="G52" i="15"/>
  <c r="H52" i="15"/>
  <c r="I52" i="15"/>
  <c r="J52" i="15"/>
  <c r="K52" i="15"/>
  <c r="L52" i="15"/>
  <c r="M52" i="15"/>
  <c r="N52" i="15"/>
  <c r="O52" i="15"/>
  <c r="P52" i="15"/>
  <c r="C53" i="15"/>
  <c r="D53" i="15"/>
  <c r="E53" i="15"/>
  <c r="F53" i="15"/>
  <c r="G53" i="15"/>
  <c r="H53" i="15"/>
  <c r="I53" i="15"/>
  <c r="J53" i="15"/>
  <c r="K53" i="15"/>
  <c r="L53" i="15"/>
  <c r="M53" i="15"/>
  <c r="N53" i="15"/>
  <c r="O53" i="15"/>
  <c r="P53" i="15"/>
  <c r="Q53" i="15"/>
  <c r="C54" i="15"/>
  <c r="D54" i="15"/>
  <c r="E54" i="15"/>
  <c r="F54" i="15"/>
  <c r="G54" i="15"/>
  <c r="H54" i="15"/>
  <c r="I54" i="15"/>
  <c r="J54" i="15"/>
  <c r="K54" i="15"/>
  <c r="L54" i="15"/>
  <c r="M54" i="15"/>
  <c r="N54" i="15"/>
  <c r="O54" i="15"/>
  <c r="P54" i="15"/>
  <c r="Q54" i="15"/>
  <c r="C55" i="15"/>
  <c r="D55" i="15"/>
  <c r="E55" i="15"/>
  <c r="F55" i="15"/>
  <c r="G55" i="15"/>
  <c r="H55" i="15"/>
  <c r="I55" i="15"/>
  <c r="J55" i="15"/>
  <c r="K55" i="15"/>
  <c r="L55" i="15"/>
  <c r="M55" i="15"/>
  <c r="N55" i="15"/>
  <c r="O55" i="15"/>
  <c r="P55" i="15"/>
  <c r="C56" i="15"/>
  <c r="D56" i="15"/>
  <c r="E56" i="15"/>
  <c r="F56" i="15"/>
  <c r="G56" i="15"/>
  <c r="H56" i="15"/>
  <c r="I56" i="15"/>
  <c r="J56" i="15"/>
  <c r="K56" i="15"/>
  <c r="L56" i="15"/>
  <c r="M56" i="15"/>
  <c r="N56" i="15"/>
  <c r="O56" i="15"/>
  <c r="P56" i="15"/>
  <c r="Q56" i="15"/>
  <c r="C57" i="15"/>
  <c r="E57" i="15"/>
  <c r="F57" i="15"/>
  <c r="G57" i="15"/>
  <c r="I57" i="15"/>
  <c r="J57" i="15"/>
  <c r="K57" i="15"/>
  <c r="M57" i="15"/>
  <c r="N57" i="15"/>
  <c r="O57" i="15"/>
  <c r="C58" i="15"/>
  <c r="D58" i="15"/>
  <c r="F58" i="15"/>
  <c r="G58" i="15"/>
  <c r="H58" i="15"/>
  <c r="J58" i="15"/>
  <c r="K58" i="15"/>
  <c r="L58" i="15"/>
  <c r="N58" i="15"/>
  <c r="O58" i="15"/>
  <c r="P58" i="15"/>
  <c r="C59" i="15"/>
  <c r="D59" i="15"/>
  <c r="E59" i="15"/>
  <c r="G59" i="15"/>
  <c r="H59" i="15"/>
  <c r="I59" i="15"/>
  <c r="K59" i="15"/>
  <c r="L59" i="15"/>
  <c r="M59" i="15"/>
  <c r="O59" i="15"/>
  <c r="P59" i="15"/>
  <c r="E60" i="15"/>
  <c r="F60" i="15"/>
  <c r="H60" i="15"/>
  <c r="I60" i="15"/>
  <c r="J60" i="15"/>
  <c r="L60" i="15"/>
  <c r="M60" i="15"/>
  <c r="N60" i="15"/>
  <c r="C61" i="15"/>
  <c r="D61" i="15"/>
  <c r="F61" i="15"/>
  <c r="G61" i="15"/>
  <c r="H61" i="15"/>
  <c r="J61" i="15"/>
  <c r="K61" i="15"/>
  <c r="L61" i="15"/>
  <c r="N61" i="15"/>
  <c r="O61" i="15"/>
  <c r="P61" i="15"/>
  <c r="C62" i="15"/>
  <c r="D62" i="15"/>
  <c r="E62" i="15"/>
  <c r="G62" i="15"/>
  <c r="H62" i="15"/>
  <c r="I62" i="15"/>
  <c r="K62" i="15"/>
  <c r="L62" i="15"/>
  <c r="M62" i="15"/>
  <c r="O62" i="15"/>
  <c r="P62" i="15"/>
  <c r="C63" i="15"/>
  <c r="D63" i="15"/>
  <c r="E63" i="15"/>
  <c r="F63" i="15"/>
  <c r="G63" i="15"/>
  <c r="H63" i="15"/>
  <c r="I63" i="15"/>
  <c r="J63" i="15"/>
  <c r="K63" i="15"/>
  <c r="L63" i="15"/>
  <c r="M63" i="15"/>
  <c r="N63" i="15"/>
  <c r="O63" i="15"/>
  <c r="P63" i="15"/>
  <c r="C64" i="15"/>
  <c r="D64" i="15"/>
  <c r="E64" i="15"/>
  <c r="F64" i="15"/>
  <c r="G64" i="15"/>
  <c r="H64" i="15"/>
  <c r="I64" i="15"/>
  <c r="J64" i="15"/>
  <c r="K64" i="15"/>
  <c r="L64" i="15"/>
  <c r="M64" i="15"/>
  <c r="N64" i="15"/>
  <c r="O64" i="15"/>
  <c r="P64" i="15"/>
  <c r="C65" i="15"/>
  <c r="F65" i="15"/>
  <c r="G65" i="15"/>
  <c r="J65" i="15"/>
  <c r="K65" i="15"/>
  <c r="N65" i="15"/>
  <c r="O65" i="15"/>
  <c r="C66" i="15"/>
  <c r="D66" i="15"/>
  <c r="E66" i="15"/>
  <c r="G66" i="15"/>
  <c r="H66" i="15"/>
  <c r="K66" i="15"/>
  <c r="L66" i="15"/>
  <c r="O66" i="15"/>
  <c r="P66" i="15"/>
  <c r="Q66" i="15"/>
  <c r="D67" i="15"/>
  <c r="E67" i="15"/>
  <c r="H67" i="15"/>
  <c r="I67" i="15"/>
  <c r="L67" i="15"/>
  <c r="M67" i="15"/>
  <c r="P67" i="15"/>
  <c r="C68" i="15"/>
  <c r="E68" i="15"/>
  <c r="F68" i="15"/>
  <c r="G68" i="15"/>
  <c r="I68" i="15"/>
  <c r="J68" i="15"/>
  <c r="K68" i="15"/>
  <c r="M68" i="15"/>
  <c r="N68" i="15"/>
  <c r="O68" i="15"/>
  <c r="Q68" i="15"/>
  <c r="C69" i="15"/>
  <c r="D69" i="15"/>
  <c r="E69" i="15"/>
  <c r="F69" i="15"/>
  <c r="G69" i="15"/>
  <c r="H69" i="15"/>
  <c r="I69" i="15"/>
  <c r="J69" i="15"/>
  <c r="K69" i="15"/>
  <c r="L69" i="15"/>
  <c r="M69" i="15"/>
  <c r="N69" i="15"/>
  <c r="O69" i="15"/>
  <c r="P69" i="15"/>
  <c r="Q69" i="15"/>
  <c r="C70" i="15"/>
  <c r="D70" i="15"/>
  <c r="E70" i="15"/>
  <c r="F70" i="15"/>
  <c r="G70" i="15"/>
  <c r="H70" i="15"/>
  <c r="I70" i="15"/>
  <c r="J70" i="15"/>
  <c r="K70" i="15"/>
  <c r="L70" i="15"/>
  <c r="M70" i="15"/>
  <c r="N70" i="15"/>
  <c r="O70" i="15"/>
  <c r="P70" i="15"/>
  <c r="C71" i="15"/>
  <c r="D71" i="15"/>
  <c r="E71" i="15"/>
  <c r="F71" i="15"/>
  <c r="G71" i="15"/>
  <c r="H71" i="15"/>
  <c r="I71" i="15"/>
  <c r="J71" i="15"/>
  <c r="K71" i="15"/>
  <c r="L71" i="15"/>
  <c r="M71" i="15"/>
  <c r="N71" i="15"/>
  <c r="O71" i="15"/>
  <c r="P71" i="15"/>
  <c r="D72" i="15"/>
  <c r="E72" i="15"/>
  <c r="F72" i="15"/>
  <c r="H72" i="15"/>
  <c r="I72" i="15"/>
  <c r="J72" i="15"/>
  <c r="L72" i="15"/>
  <c r="M72" i="15"/>
  <c r="N72" i="15"/>
  <c r="P72" i="15"/>
  <c r="C73" i="15"/>
  <c r="D73" i="15"/>
  <c r="E73" i="15"/>
  <c r="F73" i="15"/>
  <c r="G73" i="15"/>
  <c r="H73" i="15"/>
  <c r="I73" i="15"/>
  <c r="J73" i="15"/>
  <c r="K73" i="15"/>
  <c r="L73" i="15"/>
  <c r="N73" i="15"/>
  <c r="O73" i="15"/>
  <c r="P73" i="15"/>
  <c r="C74" i="15"/>
  <c r="D74" i="15"/>
  <c r="E74" i="15"/>
  <c r="F74" i="15"/>
  <c r="G74" i="15"/>
  <c r="H74" i="15"/>
  <c r="I74" i="15"/>
  <c r="J74" i="15"/>
  <c r="K74" i="15"/>
  <c r="L74" i="15"/>
  <c r="M74" i="15"/>
  <c r="O74" i="15"/>
  <c r="P74" i="15"/>
  <c r="D75" i="15"/>
  <c r="E75" i="15"/>
  <c r="F75" i="15"/>
  <c r="G75" i="15"/>
  <c r="H75" i="15"/>
  <c r="I75" i="15"/>
  <c r="J75" i="15"/>
  <c r="K75" i="15"/>
  <c r="L75" i="15"/>
  <c r="M75" i="15"/>
  <c r="N75" i="15"/>
  <c r="P75" i="15"/>
  <c r="C76" i="15"/>
  <c r="D76" i="15"/>
  <c r="E76" i="15"/>
  <c r="F76" i="15"/>
  <c r="G76" i="15"/>
  <c r="H76" i="15"/>
  <c r="I76" i="15"/>
  <c r="J76" i="15"/>
  <c r="K76" i="15"/>
  <c r="L76" i="15"/>
  <c r="M76" i="15"/>
  <c r="N76" i="15"/>
  <c r="P76" i="15"/>
  <c r="C77" i="15"/>
  <c r="D77" i="15"/>
  <c r="E77" i="15"/>
  <c r="F77" i="15"/>
  <c r="G77" i="15"/>
  <c r="H77" i="15"/>
  <c r="I77" i="15"/>
  <c r="J77" i="15"/>
  <c r="K77" i="15"/>
  <c r="L77" i="15"/>
  <c r="M77" i="15"/>
  <c r="N77" i="15"/>
  <c r="O77" i="15"/>
  <c r="P77" i="15"/>
  <c r="C78" i="15"/>
  <c r="D78" i="15"/>
  <c r="E78" i="15"/>
  <c r="F78" i="15"/>
  <c r="G78" i="15"/>
  <c r="H78" i="15"/>
  <c r="I78" i="15"/>
  <c r="J78" i="15"/>
  <c r="K78" i="15"/>
  <c r="L78" i="15"/>
  <c r="M78" i="15"/>
  <c r="N78" i="15"/>
  <c r="O78" i="15"/>
  <c r="P78" i="15"/>
  <c r="Q78" i="15"/>
  <c r="C79" i="15"/>
  <c r="D79" i="15"/>
  <c r="E79" i="15"/>
  <c r="F79" i="15"/>
  <c r="G79" i="15"/>
  <c r="H79" i="15"/>
  <c r="I79" i="15"/>
  <c r="J79" i="15"/>
  <c r="K79" i="15"/>
  <c r="L79" i="15"/>
  <c r="M79" i="15"/>
  <c r="N79" i="15"/>
  <c r="O79" i="15"/>
  <c r="P79" i="15"/>
  <c r="D80" i="15"/>
  <c r="E80" i="15"/>
  <c r="F80" i="15"/>
  <c r="G80" i="15"/>
  <c r="H80" i="15"/>
  <c r="I80" i="15"/>
  <c r="J80" i="15"/>
  <c r="K80" i="15"/>
  <c r="L80" i="15"/>
  <c r="M80" i="15"/>
  <c r="N80" i="15"/>
  <c r="O80" i="15"/>
  <c r="P80" i="15"/>
  <c r="C81" i="15"/>
  <c r="D81" i="15"/>
  <c r="E81" i="15"/>
  <c r="F81" i="15"/>
  <c r="G81" i="15"/>
  <c r="H81" i="15"/>
  <c r="I81" i="15"/>
  <c r="J81" i="15"/>
  <c r="K81" i="15"/>
  <c r="L81" i="15"/>
  <c r="M81" i="15"/>
  <c r="N81" i="15"/>
  <c r="O81" i="15"/>
  <c r="Q81" i="15"/>
  <c r="C82" i="15"/>
  <c r="D82" i="15"/>
  <c r="E82" i="15"/>
  <c r="G82" i="15"/>
  <c r="H82" i="15"/>
  <c r="I82" i="15"/>
  <c r="J82" i="15"/>
  <c r="K82" i="15"/>
  <c r="L82" i="15"/>
  <c r="M82" i="15"/>
  <c r="N82" i="15"/>
  <c r="O82" i="15"/>
  <c r="P82" i="15"/>
  <c r="D83" i="15"/>
  <c r="E83" i="15"/>
  <c r="F83" i="15"/>
  <c r="G83" i="15"/>
  <c r="H83" i="15"/>
  <c r="I83" i="15"/>
  <c r="J83" i="15"/>
  <c r="K83" i="15"/>
  <c r="L83" i="15"/>
  <c r="M83" i="15"/>
  <c r="N83" i="15"/>
  <c r="O83" i="15"/>
  <c r="P83" i="15"/>
  <c r="C84" i="15"/>
  <c r="E84" i="15"/>
  <c r="F84" i="15"/>
  <c r="G84" i="15"/>
  <c r="I84" i="15"/>
  <c r="J84" i="15"/>
  <c r="K84" i="15"/>
  <c r="M84" i="15"/>
  <c r="N84" i="15"/>
  <c r="O84" i="15"/>
  <c r="Q84" i="15"/>
  <c r="C85" i="15"/>
  <c r="D85" i="15"/>
  <c r="E85" i="15"/>
  <c r="F85" i="15"/>
  <c r="G85" i="15"/>
  <c r="H85" i="15"/>
  <c r="I85" i="15"/>
  <c r="J85" i="15"/>
  <c r="K85" i="15"/>
  <c r="L85" i="15"/>
  <c r="M85" i="15"/>
  <c r="N85" i="15"/>
  <c r="O85" i="15"/>
  <c r="P85" i="15"/>
  <c r="C86" i="15"/>
  <c r="D86" i="15"/>
  <c r="E86" i="15"/>
  <c r="F86" i="15"/>
  <c r="G86" i="15"/>
  <c r="H86" i="15"/>
  <c r="I86" i="15"/>
  <c r="J86" i="15"/>
  <c r="K86" i="15"/>
  <c r="L86" i="15"/>
  <c r="M86" i="15"/>
  <c r="N86" i="15"/>
  <c r="O86" i="15"/>
  <c r="P86" i="15"/>
  <c r="Q86" i="15"/>
  <c r="C87" i="15"/>
  <c r="D87" i="15"/>
  <c r="E87" i="15"/>
  <c r="F87" i="15"/>
  <c r="G87" i="15"/>
  <c r="H87" i="15"/>
  <c r="I87" i="15"/>
  <c r="J87" i="15"/>
  <c r="K87" i="15"/>
  <c r="L87" i="15"/>
  <c r="M87" i="15"/>
  <c r="N87" i="15"/>
  <c r="O87" i="15"/>
  <c r="P87" i="15"/>
  <c r="R87" i="14"/>
  <c r="R86" i="14"/>
  <c r="R85" i="14"/>
  <c r="R84" i="14"/>
  <c r="R83" i="14"/>
  <c r="R82" i="14"/>
  <c r="R81" i="14"/>
  <c r="R80" i="14"/>
  <c r="R79" i="14"/>
  <c r="R78" i="14"/>
  <c r="R77" i="14"/>
  <c r="R76" i="14"/>
  <c r="R75" i="14"/>
  <c r="R74" i="14"/>
  <c r="R73" i="14"/>
  <c r="R72" i="14"/>
  <c r="R71" i="14"/>
  <c r="R70" i="14"/>
  <c r="R69" i="14"/>
  <c r="R68" i="14"/>
  <c r="R67" i="14"/>
  <c r="R66" i="14"/>
  <c r="R65" i="14"/>
  <c r="R64" i="14"/>
  <c r="R63" i="14"/>
  <c r="R62" i="14"/>
  <c r="R61" i="14"/>
  <c r="R60" i="14"/>
  <c r="R59" i="14"/>
  <c r="R58" i="14"/>
  <c r="R57" i="14"/>
  <c r="R56" i="14"/>
  <c r="R55" i="14"/>
  <c r="R54" i="14"/>
  <c r="R53" i="14"/>
  <c r="R52" i="14"/>
  <c r="R51" i="14"/>
  <c r="R50" i="14"/>
  <c r="R49" i="14"/>
  <c r="R48" i="14"/>
  <c r="R47" i="14"/>
  <c r="R46" i="14"/>
  <c r="R45" i="14"/>
  <c r="R44" i="14"/>
  <c r="R43" i="14"/>
  <c r="R42" i="14"/>
  <c r="R41" i="14"/>
  <c r="R40" i="14"/>
  <c r="R39" i="14"/>
  <c r="R38" i="14"/>
  <c r="AQ7" i="10"/>
  <c r="AP7" i="10"/>
  <c r="AN7" i="10"/>
  <c r="AM7" i="10"/>
  <c r="AK7" i="10"/>
  <c r="AJ7" i="10"/>
  <c r="AH7" i="10"/>
  <c r="AG7" i="10"/>
  <c r="AF7" i="10"/>
  <c r="AE7" i="10"/>
  <c r="AD7" i="10"/>
  <c r="AB7" i="10"/>
  <c r="AA7" i="10"/>
  <c r="Y7" i="10"/>
  <c r="X7" i="10"/>
  <c r="V7" i="10"/>
  <c r="U7" i="10"/>
  <c r="S7" i="10"/>
  <c r="R7" i="10"/>
  <c r="P7" i="10"/>
  <c r="O7" i="10"/>
  <c r="M7" i="10"/>
  <c r="L7" i="10"/>
  <c r="J7" i="10"/>
  <c r="I7" i="10"/>
  <c r="G7" i="10"/>
  <c r="F7" i="10"/>
  <c r="E7" i="10"/>
  <c r="D7" i="10"/>
  <c r="C7" i="10"/>
  <c r="AT86" i="10"/>
  <c r="AT85" i="10"/>
  <c r="AT81" i="10"/>
  <c r="AT78" i="10"/>
  <c r="AT77" i="10"/>
  <c r="AT73" i="10"/>
  <c r="AT70" i="10"/>
  <c r="AT69" i="10"/>
  <c r="AT66" i="10"/>
  <c r="AT61" i="10"/>
  <c r="AT58" i="10"/>
  <c r="AT57" i="10"/>
  <c r="AT54" i="10"/>
  <c r="AT53" i="10"/>
  <c r="AT49" i="10"/>
  <c r="AT46" i="10"/>
  <c r="AT45" i="10"/>
  <c r="U171" i="1"/>
  <c r="G171" i="9"/>
  <c r="V171" i="1"/>
  <c r="Q171" i="1"/>
  <c r="U170" i="1"/>
  <c r="V170" i="1"/>
  <c r="H170" i="9"/>
  <c r="Q170" i="1"/>
  <c r="V169" i="1"/>
  <c r="H169" i="9"/>
  <c r="Q169" i="1"/>
  <c r="U168" i="1"/>
  <c r="V168" i="1"/>
  <c r="Q168" i="1"/>
  <c r="V167" i="1"/>
  <c r="H167" i="9"/>
  <c r="Q167" i="1"/>
  <c r="V166" i="1"/>
  <c r="H166" i="9"/>
  <c r="Q166" i="1"/>
  <c r="V165" i="1"/>
  <c r="H165" i="9"/>
  <c r="Q165" i="1"/>
  <c r="U164" i="1"/>
  <c r="V164" i="1"/>
  <c r="H164" i="9"/>
  <c r="Q164" i="1"/>
  <c r="V163" i="1"/>
  <c r="H163" i="9"/>
  <c r="Q163" i="1"/>
  <c r="U162" i="1"/>
  <c r="V162" i="1"/>
  <c r="H162" i="9"/>
  <c r="Q162" i="1"/>
  <c r="V161" i="1"/>
  <c r="H161" i="9"/>
  <c r="Q161" i="1"/>
  <c r="U160" i="1"/>
  <c r="V160" i="1"/>
  <c r="H160" i="9"/>
  <c r="Q160" i="1"/>
  <c r="V159" i="1"/>
  <c r="H159" i="9"/>
  <c r="Q159" i="1"/>
  <c r="U158" i="1"/>
  <c r="G158" i="9"/>
  <c r="Q158" i="1"/>
  <c r="V157" i="1"/>
  <c r="H157" i="9"/>
  <c r="Q157" i="1"/>
  <c r="U156" i="1"/>
  <c r="G156" i="9"/>
  <c r="V156" i="1"/>
  <c r="H156" i="9"/>
  <c r="Q156" i="1"/>
  <c r="V155" i="1"/>
  <c r="H155" i="9"/>
  <c r="Q155" i="1"/>
  <c r="U154" i="1"/>
  <c r="V154" i="1"/>
  <c r="H154" i="9"/>
  <c r="Q154" i="1"/>
  <c r="V153" i="1"/>
  <c r="H153" i="9"/>
  <c r="Q153" i="1"/>
  <c r="U152" i="1"/>
  <c r="V152" i="1"/>
  <c r="H152" i="9"/>
  <c r="Q152" i="1"/>
  <c r="U151" i="1"/>
  <c r="I151" i="9"/>
  <c r="V151" i="1"/>
  <c r="H151" i="9"/>
  <c r="Q151" i="1"/>
  <c r="U150" i="1"/>
  <c r="V150" i="1"/>
  <c r="H150" i="9"/>
  <c r="Q150" i="1"/>
  <c r="U149" i="1"/>
  <c r="G149" i="9"/>
  <c r="V149" i="1"/>
  <c r="Q149" i="1"/>
  <c r="U148" i="1"/>
  <c r="V148" i="1"/>
  <c r="H148" i="9"/>
  <c r="Q148" i="1"/>
  <c r="U147" i="1"/>
  <c r="G147" i="9"/>
  <c r="Q147" i="1"/>
  <c r="U146" i="1"/>
  <c r="G146" i="9"/>
  <c r="Q146" i="1"/>
  <c r="U145" i="1"/>
  <c r="G145" i="9"/>
  <c r="V145" i="1"/>
  <c r="H145" i="9"/>
  <c r="Q145" i="1"/>
  <c r="U144" i="1"/>
  <c r="V144" i="1"/>
  <c r="Q144" i="1"/>
  <c r="V143" i="1"/>
  <c r="H143" i="9"/>
  <c r="Q143" i="1"/>
  <c r="V142" i="1"/>
  <c r="H142" i="9"/>
  <c r="Q142" i="1"/>
  <c r="U141" i="1"/>
  <c r="G141" i="9"/>
  <c r="V141" i="1"/>
  <c r="H141" i="9"/>
  <c r="Q141" i="1"/>
  <c r="U140" i="1"/>
  <c r="V140" i="1"/>
  <c r="H140" i="9"/>
  <c r="Q140" i="1"/>
  <c r="U139" i="1"/>
  <c r="Q139" i="1"/>
  <c r="U138" i="1"/>
  <c r="Q138" i="1"/>
  <c r="U137" i="1"/>
  <c r="Q137" i="1"/>
  <c r="U136" i="1"/>
  <c r="Q136" i="1"/>
  <c r="Q135" i="1"/>
  <c r="V134" i="1"/>
  <c r="H134" i="9"/>
  <c r="Q134" i="1"/>
  <c r="U133" i="1"/>
  <c r="Q133" i="1"/>
  <c r="U132" i="1"/>
  <c r="G132" i="9"/>
  <c r="V132" i="1"/>
  <c r="H132" i="9"/>
  <c r="Q132" i="1"/>
  <c r="V131" i="1"/>
  <c r="H131" i="9"/>
  <c r="U131" i="1"/>
  <c r="G131" i="9"/>
  <c r="Q131" i="1"/>
  <c r="U130" i="1"/>
  <c r="G130" i="9"/>
  <c r="V130" i="1"/>
  <c r="Q130" i="1"/>
  <c r="U129" i="1"/>
  <c r="V129" i="1"/>
  <c r="H129" i="9"/>
  <c r="Q129" i="1"/>
  <c r="V128" i="1"/>
  <c r="H128" i="9"/>
  <c r="Q128" i="1"/>
  <c r="V127" i="1"/>
  <c r="H127" i="9"/>
  <c r="Q127" i="1"/>
  <c r="V126" i="1"/>
  <c r="H126" i="9"/>
  <c r="Q126" i="1"/>
  <c r="U125" i="1"/>
  <c r="V125" i="1"/>
  <c r="H125" i="9"/>
  <c r="Q125" i="1"/>
  <c r="U124" i="1"/>
  <c r="G124" i="9"/>
  <c r="V124" i="1"/>
  <c r="H124" i="9"/>
  <c r="Q124" i="1"/>
  <c r="V123" i="1"/>
  <c r="H123" i="9"/>
  <c r="Q123" i="1"/>
  <c r="U122" i="1"/>
  <c r="G122" i="9"/>
  <c r="V122" i="1"/>
  <c r="H122" i="9"/>
  <c r="Q122" i="1"/>
  <c r="U121" i="1"/>
  <c r="V121" i="1"/>
  <c r="H121" i="9"/>
  <c r="Q121" i="1"/>
  <c r="U120" i="1"/>
  <c r="G120" i="9"/>
  <c r="V120" i="1"/>
  <c r="H120" i="9"/>
  <c r="Q120" i="1"/>
  <c r="V119" i="1"/>
  <c r="H119" i="9"/>
  <c r="Q119" i="1"/>
  <c r="U118" i="1"/>
  <c r="I118" i="9"/>
  <c r="V118" i="1"/>
  <c r="H118" i="9"/>
  <c r="Q118" i="1"/>
  <c r="U117" i="1"/>
  <c r="G117" i="9"/>
  <c r="Q117" i="1"/>
  <c r="U116" i="1"/>
  <c r="G116" i="9"/>
  <c r="V116" i="1"/>
  <c r="H116" i="9"/>
  <c r="Q116" i="1"/>
  <c r="U115" i="1"/>
  <c r="G115" i="9"/>
  <c r="V115" i="1"/>
  <c r="H115" i="9"/>
  <c r="Q115" i="1"/>
  <c r="U114" i="1"/>
  <c r="G114" i="9"/>
  <c r="V114" i="1"/>
  <c r="H114" i="9"/>
  <c r="Q114" i="1"/>
  <c r="U113" i="1"/>
  <c r="G113" i="9"/>
  <c r="V113" i="1"/>
  <c r="H113" i="9"/>
  <c r="Q113" i="1"/>
  <c r="U112" i="1"/>
  <c r="G112" i="9"/>
  <c r="V112" i="1"/>
  <c r="H112" i="9"/>
  <c r="Q112" i="1"/>
  <c r="V111" i="1"/>
  <c r="H111" i="9"/>
  <c r="Q111" i="1"/>
  <c r="V110" i="1"/>
  <c r="H110" i="9"/>
  <c r="Q110" i="1"/>
  <c r="U109" i="1"/>
  <c r="G109" i="9"/>
  <c r="Q109" i="1"/>
  <c r="U108" i="1"/>
  <c r="G108" i="9"/>
  <c r="V108" i="1"/>
  <c r="H108" i="9"/>
  <c r="Q108" i="1"/>
  <c r="U107" i="1"/>
  <c r="V107" i="1"/>
  <c r="H107" i="9"/>
  <c r="Q107" i="1"/>
  <c r="U106" i="1"/>
  <c r="G106" i="9"/>
  <c r="V106" i="1"/>
  <c r="H106" i="9"/>
  <c r="Q106" i="1"/>
  <c r="V105" i="1"/>
  <c r="H105" i="9"/>
  <c r="Q105" i="1"/>
  <c r="U104" i="1"/>
  <c r="V104" i="1"/>
  <c r="H104" i="9"/>
  <c r="Q104" i="1"/>
  <c r="U103" i="1"/>
  <c r="V103" i="1"/>
  <c r="H103" i="9"/>
  <c r="Q103" i="1"/>
  <c r="V102" i="1"/>
  <c r="H102" i="9"/>
  <c r="Q102" i="1"/>
  <c r="U101" i="1"/>
  <c r="G101" i="9"/>
  <c r="Q101" i="1"/>
  <c r="U100" i="1"/>
  <c r="G100" i="9"/>
  <c r="V100" i="1"/>
  <c r="H100" i="9"/>
  <c r="Q100" i="1"/>
  <c r="V99" i="1"/>
  <c r="H99" i="9"/>
  <c r="Q99" i="1"/>
  <c r="U98" i="1"/>
  <c r="V98" i="1"/>
  <c r="H98" i="9"/>
  <c r="Q98" i="1"/>
  <c r="U97" i="1"/>
  <c r="V97" i="1"/>
  <c r="H97" i="9"/>
  <c r="Q97" i="1"/>
  <c r="V96" i="1"/>
  <c r="H96" i="9"/>
  <c r="Q96" i="1"/>
  <c r="V95" i="1"/>
  <c r="H95" i="9"/>
  <c r="Q95" i="1"/>
  <c r="V94" i="1"/>
  <c r="H94" i="9"/>
  <c r="Q94" i="1"/>
  <c r="U93" i="1"/>
  <c r="G93" i="9"/>
  <c r="Q93" i="1"/>
  <c r="V92" i="1"/>
  <c r="H92" i="9"/>
  <c r="Q92" i="1"/>
  <c r="V91" i="1"/>
  <c r="H91" i="9"/>
  <c r="Q91" i="1"/>
  <c r="U90" i="1"/>
  <c r="Q90" i="1"/>
  <c r="U89" i="1"/>
  <c r="Q89" i="1"/>
  <c r="U88" i="1"/>
  <c r="Q88" i="1"/>
  <c r="V87" i="1"/>
  <c r="H87" i="9"/>
  <c r="Q87" i="1"/>
  <c r="U86" i="1"/>
  <c r="I86" i="9"/>
  <c r="V86" i="1"/>
  <c r="H86" i="9"/>
  <c r="Q86" i="1"/>
  <c r="V85" i="1"/>
  <c r="H85" i="9"/>
  <c r="Q85" i="1"/>
  <c r="U84" i="1"/>
  <c r="V84" i="1"/>
  <c r="H84" i="9"/>
  <c r="Q84" i="1"/>
  <c r="U83" i="1"/>
  <c r="V83" i="1"/>
  <c r="H83" i="9"/>
  <c r="Q83" i="1"/>
  <c r="U82" i="1"/>
  <c r="G82" i="9"/>
  <c r="Q82" i="1"/>
  <c r="V81" i="1"/>
  <c r="H81" i="9"/>
  <c r="Q81" i="1"/>
  <c r="U80" i="1"/>
  <c r="V80" i="1"/>
  <c r="H80" i="9"/>
  <c r="Q80" i="1"/>
  <c r="U79" i="1"/>
  <c r="V79" i="1"/>
  <c r="H79" i="9"/>
  <c r="Q79" i="1"/>
  <c r="U78" i="1"/>
  <c r="G78" i="9"/>
  <c r="Q78" i="1"/>
  <c r="U77" i="1"/>
  <c r="G77" i="9"/>
  <c r="V77" i="1"/>
  <c r="H77" i="9"/>
  <c r="Q77" i="1"/>
  <c r="U76" i="1"/>
  <c r="G76" i="9"/>
  <c r="V76" i="1"/>
  <c r="H76" i="9"/>
  <c r="Q76" i="1"/>
  <c r="Q75" i="1"/>
  <c r="U74" i="1"/>
  <c r="G74" i="9"/>
  <c r="Q74" i="1"/>
  <c r="U73" i="1"/>
  <c r="V73" i="1"/>
  <c r="H73" i="9"/>
  <c r="Q73" i="1"/>
  <c r="U72" i="1"/>
  <c r="G72" i="9"/>
  <c r="V72" i="1"/>
  <c r="H72" i="9"/>
  <c r="Q72" i="1"/>
  <c r="V71" i="1"/>
  <c r="H71" i="9"/>
  <c r="Q71" i="1"/>
  <c r="U70" i="1"/>
  <c r="G70" i="9"/>
  <c r="Q70" i="1"/>
  <c r="U69" i="1"/>
  <c r="Q69" i="1"/>
  <c r="U68" i="1"/>
  <c r="G68" i="9"/>
  <c r="V68" i="1"/>
  <c r="H68" i="9"/>
  <c r="Q68" i="1"/>
  <c r="U67" i="1"/>
  <c r="V67" i="1"/>
  <c r="H67" i="9"/>
  <c r="Q67" i="1"/>
  <c r="U66" i="1"/>
  <c r="G66" i="9"/>
  <c r="V66" i="1"/>
  <c r="H66" i="9"/>
  <c r="Q66" i="1"/>
  <c r="V65" i="1"/>
  <c r="H65" i="9"/>
  <c r="Q65" i="1"/>
  <c r="U64" i="1"/>
  <c r="V64" i="1"/>
  <c r="H64" i="9"/>
  <c r="Q64" i="1"/>
  <c r="U63" i="1"/>
  <c r="G63" i="9"/>
  <c r="V63" i="1"/>
  <c r="H63" i="9"/>
  <c r="Q63" i="1"/>
  <c r="U62" i="1"/>
  <c r="G62" i="9"/>
  <c r="Q62" i="1"/>
  <c r="V61" i="1"/>
  <c r="H61" i="9"/>
  <c r="Q61" i="1"/>
  <c r="U60" i="1"/>
  <c r="G60" i="9"/>
  <c r="V60" i="1"/>
  <c r="H60" i="9"/>
  <c r="Q60" i="1"/>
  <c r="Q59" i="1"/>
  <c r="U58" i="1"/>
  <c r="Q58" i="1"/>
  <c r="U57" i="1"/>
  <c r="I57" i="9"/>
  <c r="V57" i="1"/>
  <c r="H57" i="9"/>
  <c r="Q57" i="1"/>
  <c r="V56" i="1"/>
  <c r="H56" i="9"/>
  <c r="Q56" i="1"/>
  <c r="V55" i="1"/>
  <c r="H55" i="9"/>
  <c r="Q55" i="1"/>
  <c r="U54" i="1"/>
  <c r="I54" i="9"/>
  <c r="Q54" i="1"/>
  <c r="U53" i="1"/>
  <c r="V53" i="1"/>
  <c r="H53" i="9"/>
  <c r="Q53" i="1"/>
  <c r="U52" i="1"/>
  <c r="V52" i="1"/>
  <c r="H52" i="9"/>
  <c r="Q52" i="1"/>
  <c r="U51" i="1"/>
  <c r="Q51" i="1"/>
  <c r="U50" i="1"/>
  <c r="G50" i="9"/>
  <c r="V50" i="1"/>
  <c r="H50" i="9"/>
  <c r="Q50" i="1"/>
  <c r="V49" i="1"/>
  <c r="H49" i="9"/>
  <c r="Q49" i="1"/>
  <c r="V48" i="1"/>
  <c r="H48" i="9"/>
  <c r="Q48" i="1"/>
  <c r="U47" i="1"/>
  <c r="V47" i="1"/>
  <c r="H47" i="9"/>
  <c r="Q47" i="1"/>
  <c r="U46" i="1"/>
  <c r="V46" i="1"/>
  <c r="H46" i="9"/>
  <c r="Q46" i="1"/>
  <c r="V45" i="1"/>
  <c r="H45" i="9"/>
  <c r="U45" i="1"/>
  <c r="G45" i="9"/>
  <c r="Q45" i="1"/>
  <c r="V44" i="1"/>
  <c r="H44" i="9"/>
  <c r="Q44" i="1"/>
  <c r="V43" i="1"/>
  <c r="H43" i="9"/>
  <c r="Q43" i="1"/>
  <c r="V42" i="1"/>
  <c r="H42" i="9"/>
  <c r="Q42" i="1"/>
  <c r="U41" i="1"/>
  <c r="I41" i="9"/>
  <c r="V41" i="1"/>
  <c r="H41" i="9"/>
  <c r="Q41" i="1"/>
  <c r="U40" i="1"/>
  <c r="V40" i="1"/>
  <c r="H40" i="9"/>
  <c r="Q40" i="1"/>
  <c r="V39" i="1"/>
  <c r="H39" i="9"/>
  <c r="Q39" i="1"/>
  <c r="Q38" i="1"/>
  <c r="V37" i="1"/>
  <c r="H37" i="9"/>
  <c r="Q37" i="1"/>
  <c r="U36" i="1"/>
  <c r="G36" i="9"/>
  <c r="V36" i="1"/>
  <c r="H36" i="9"/>
  <c r="Q36" i="1"/>
  <c r="V35" i="1"/>
  <c r="H35" i="9"/>
  <c r="Q35" i="1"/>
  <c r="U34" i="1"/>
  <c r="G34" i="9"/>
  <c r="V34" i="1"/>
  <c r="H34" i="9"/>
  <c r="Q34" i="1"/>
  <c r="U33" i="1"/>
  <c r="G33" i="9"/>
  <c r="V33" i="1"/>
  <c r="H33" i="9"/>
  <c r="Q33" i="1"/>
  <c r="U32" i="1"/>
  <c r="V32" i="1"/>
  <c r="H32" i="9"/>
  <c r="Q32" i="1"/>
  <c r="U31" i="1"/>
  <c r="V31" i="1"/>
  <c r="Q31" i="1"/>
  <c r="V30" i="1"/>
  <c r="H30" i="9"/>
  <c r="Q30" i="1"/>
  <c r="V29" i="1"/>
  <c r="H29" i="9"/>
  <c r="Q29" i="1"/>
  <c r="V28" i="1"/>
  <c r="H28" i="9"/>
  <c r="Q28" i="1"/>
  <c r="V27" i="1"/>
  <c r="H27" i="9"/>
  <c r="Q27" i="1"/>
  <c r="U26" i="1"/>
  <c r="I26" i="9"/>
  <c r="Q26" i="1"/>
  <c r="V25" i="1"/>
  <c r="H25" i="9"/>
  <c r="Q25" i="1"/>
  <c r="U24" i="1"/>
  <c r="G24" i="9"/>
  <c r="V24" i="1"/>
  <c r="Q24" i="1"/>
  <c r="V23" i="1"/>
  <c r="H23" i="9"/>
  <c r="Q23" i="1"/>
  <c r="V22" i="1"/>
  <c r="Q22" i="1"/>
  <c r="V21" i="1"/>
  <c r="H21" i="9"/>
  <c r="Q21" i="1"/>
  <c r="U20" i="1"/>
  <c r="V20" i="1"/>
  <c r="H20" i="9"/>
  <c r="Q20" i="1"/>
  <c r="U19" i="1"/>
  <c r="V19" i="1"/>
  <c r="H19" i="9"/>
  <c r="Q19" i="1"/>
  <c r="Q18" i="1"/>
  <c r="U17" i="1"/>
  <c r="G17" i="9"/>
  <c r="V17" i="1"/>
  <c r="Q17" i="1"/>
  <c r="U16" i="1"/>
  <c r="G16" i="9"/>
  <c r="V16" i="1"/>
  <c r="H16" i="9"/>
  <c r="Q16" i="1"/>
  <c r="U15" i="1"/>
  <c r="G15" i="9"/>
  <c r="V15" i="1"/>
  <c r="H15" i="9"/>
  <c r="Q15" i="1"/>
  <c r="U14" i="1"/>
  <c r="G14" i="9"/>
  <c r="Q14" i="1"/>
  <c r="V13" i="1"/>
  <c r="H13" i="9"/>
  <c r="Q13" i="1"/>
  <c r="V12" i="1"/>
  <c r="H12" i="9"/>
  <c r="Q12" i="1"/>
  <c r="U11" i="1"/>
  <c r="G11" i="9"/>
  <c r="V11" i="1"/>
  <c r="Q11" i="1"/>
  <c r="V10" i="1"/>
  <c r="H10" i="9"/>
  <c r="Q10" i="1"/>
  <c r="V9" i="1"/>
  <c r="Q9" i="1"/>
  <c r="V8" i="1"/>
  <c r="H8" i="9"/>
  <c r="Q8" i="1"/>
  <c r="V7" i="1"/>
  <c r="H7" i="9"/>
  <c r="Q7" i="1"/>
  <c r="U6" i="1"/>
  <c r="V6" i="1"/>
  <c r="H6" i="9"/>
  <c r="Q6" i="1"/>
  <c r="U5" i="1"/>
  <c r="G5" i="9"/>
  <c r="Q5" i="1"/>
  <c r="U4" i="1"/>
  <c r="G4" i="9"/>
  <c r="Q4" i="1"/>
  <c r="Q1" i="1"/>
  <c r="N1" i="1"/>
  <c r="K1" i="1"/>
  <c r="R10" i="14"/>
  <c r="R11" i="14"/>
  <c r="R12" i="14"/>
  <c r="R13" i="14"/>
  <c r="R14" i="14"/>
  <c r="R15" i="14"/>
  <c r="R16" i="14"/>
  <c r="R17" i="14"/>
  <c r="R18" i="14"/>
  <c r="R19" i="14"/>
  <c r="R20" i="14"/>
  <c r="R21" i="14"/>
  <c r="R22" i="14"/>
  <c r="R23" i="14"/>
  <c r="R24" i="14"/>
  <c r="R25" i="14"/>
  <c r="R26" i="14"/>
  <c r="R27" i="14"/>
  <c r="R28" i="14"/>
  <c r="R29" i="14"/>
  <c r="R30" i="14"/>
  <c r="R31" i="14"/>
  <c r="R32" i="14"/>
  <c r="R33" i="14"/>
  <c r="R34" i="14"/>
  <c r="R35" i="14"/>
  <c r="R36" i="14"/>
  <c r="R37" i="14"/>
  <c r="R9" i="14"/>
  <c r="Q8" i="15"/>
  <c r="Q6" i="15"/>
  <c r="P6" i="15"/>
  <c r="O6" i="15"/>
  <c r="N6" i="15"/>
  <c r="M6" i="15"/>
  <c r="L6" i="15"/>
  <c r="K6" i="15"/>
  <c r="J6" i="15"/>
  <c r="I6" i="15"/>
  <c r="H6" i="15"/>
  <c r="G6" i="15"/>
  <c r="F6" i="15"/>
  <c r="E6" i="15"/>
  <c r="D6" i="15"/>
  <c r="C6" i="15"/>
  <c r="P5" i="15"/>
  <c r="P8" i="15"/>
  <c r="O5" i="15"/>
  <c r="O8" i="15"/>
  <c r="N5" i="15"/>
  <c r="N8" i="15"/>
  <c r="M5" i="15"/>
  <c r="M8" i="15"/>
  <c r="L5" i="15"/>
  <c r="L8" i="15"/>
  <c r="K5" i="15"/>
  <c r="K8" i="15"/>
  <c r="J5" i="15"/>
  <c r="J8" i="15"/>
  <c r="I5" i="15"/>
  <c r="I8" i="15"/>
  <c r="H5" i="15"/>
  <c r="H8" i="15"/>
  <c r="G5" i="15"/>
  <c r="G8" i="15"/>
  <c r="F5" i="15"/>
  <c r="F8" i="15"/>
  <c r="E5" i="15"/>
  <c r="E8" i="15"/>
  <c r="D5" i="15"/>
  <c r="D8" i="15"/>
  <c r="C5" i="15"/>
  <c r="C8" i="15"/>
  <c r="C5" i="14"/>
  <c r="C8" i="14"/>
  <c r="D5" i="14"/>
  <c r="D8" i="14"/>
  <c r="E5" i="14"/>
  <c r="E8" i="14"/>
  <c r="F5" i="14"/>
  <c r="F8" i="14"/>
  <c r="G5" i="14"/>
  <c r="H5" i="14"/>
  <c r="H8" i="14"/>
  <c r="I5" i="14"/>
  <c r="I8" i="14"/>
  <c r="J5" i="14"/>
  <c r="J8" i="14"/>
  <c r="K5" i="14"/>
  <c r="K8" i="14"/>
  <c r="L5" i="14"/>
  <c r="L8" i="14"/>
  <c r="M5" i="14"/>
  <c r="M8" i="14"/>
  <c r="N5" i="14"/>
  <c r="N8" i="14"/>
  <c r="O5" i="14"/>
  <c r="O8" i="14"/>
  <c r="P5" i="14"/>
  <c r="P8" i="14"/>
  <c r="C6" i="14"/>
  <c r="D6" i="14"/>
  <c r="E6" i="14"/>
  <c r="F6" i="14"/>
  <c r="G6" i="14"/>
  <c r="H6" i="14"/>
  <c r="I6" i="14"/>
  <c r="J6" i="14"/>
  <c r="K6" i="14"/>
  <c r="L6" i="14"/>
  <c r="M6" i="14"/>
  <c r="N6" i="14"/>
  <c r="O6" i="14"/>
  <c r="P6" i="14"/>
  <c r="Q6" i="14"/>
  <c r="G8" i="14"/>
  <c r="AT21" i="10"/>
  <c r="AT22" i="10"/>
  <c r="AT13" i="10"/>
  <c r="AT17" i="10"/>
  <c r="AT29" i="10"/>
  <c r="Q6" i="11"/>
  <c r="Q8" i="11"/>
  <c r="C6" i="11"/>
  <c r="D6" i="11"/>
  <c r="E6" i="11"/>
  <c r="F6" i="11"/>
  <c r="G6" i="11"/>
  <c r="H6" i="11"/>
  <c r="I6" i="11"/>
  <c r="J6" i="11"/>
  <c r="K6" i="11"/>
  <c r="L6" i="11"/>
  <c r="M6" i="11"/>
  <c r="N6" i="11"/>
  <c r="O6" i="11"/>
  <c r="P6" i="11"/>
  <c r="D5" i="11"/>
  <c r="D8" i="11"/>
  <c r="E5" i="11"/>
  <c r="E8" i="11"/>
  <c r="F5" i="11"/>
  <c r="F8" i="11"/>
  <c r="G5" i="11"/>
  <c r="G8" i="11"/>
  <c r="H5" i="11"/>
  <c r="H8" i="11"/>
  <c r="I5" i="11"/>
  <c r="I8" i="11"/>
  <c r="J5" i="11"/>
  <c r="J8" i="11"/>
  <c r="K5" i="11"/>
  <c r="K8" i="11"/>
  <c r="L5" i="11"/>
  <c r="L8" i="11"/>
  <c r="M5" i="11"/>
  <c r="M8" i="11"/>
  <c r="N5" i="11"/>
  <c r="N8" i="11"/>
  <c r="O5" i="11"/>
  <c r="O8" i="11"/>
  <c r="P5" i="11"/>
  <c r="P8" i="11"/>
  <c r="C5" i="11"/>
  <c r="C8" i="11"/>
  <c r="AT34" i="10"/>
  <c r="AT30" i="10"/>
  <c r="AT26" i="10"/>
  <c r="AT14" i="10"/>
  <c r="AT37" i="10"/>
  <c r="AT25" i="10"/>
  <c r="H17" i="9"/>
  <c r="I17" i="9"/>
  <c r="G57" i="9"/>
  <c r="U94" i="1"/>
  <c r="U102" i="1"/>
  <c r="U153" i="1"/>
  <c r="U161" i="1"/>
  <c r="U157" i="1"/>
  <c r="U169" i="1"/>
  <c r="G169" i="9"/>
  <c r="U9" i="1"/>
  <c r="G9" i="9"/>
  <c r="U37" i="1"/>
  <c r="G37" i="9"/>
  <c r="U65" i="1"/>
  <c r="G65" i="9"/>
  <c r="I77" i="9"/>
  <c r="U91" i="1"/>
  <c r="U110" i="1"/>
  <c r="G110" i="9"/>
  <c r="I115" i="9"/>
  <c r="U142" i="1"/>
  <c r="G142" i="9"/>
  <c r="I142" i="9"/>
  <c r="V18" i="1"/>
  <c r="H18" i="9"/>
  <c r="G20" i="9"/>
  <c r="U43" i="1"/>
  <c r="I43" i="9"/>
  <c r="V70" i="1"/>
  <c r="H70" i="9"/>
  <c r="V82" i="1"/>
  <c r="H82" i="9"/>
  <c r="H22" i="9"/>
  <c r="U71" i="1"/>
  <c r="V93" i="1"/>
  <c r="H93" i="9"/>
  <c r="V109" i="1"/>
  <c r="H109" i="9"/>
  <c r="I113" i="9"/>
  <c r="G129" i="9"/>
  <c r="V133" i="1"/>
  <c r="H133" i="9"/>
  <c r="V14" i="1"/>
  <c r="U27" i="1"/>
  <c r="I27" i="9"/>
  <c r="G32" i="9"/>
  <c r="I32" i="9"/>
  <c r="U39" i="1"/>
  <c r="V54" i="1"/>
  <c r="H54" i="9"/>
  <c r="I68" i="9"/>
  <c r="V58" i="1"/>
  <c r="V74" i="1"/>
  <c r="I74" i="9"/>
  <c r="H74" i="9"/>
  <c r="I76" i="9"/>
  <c r="G89" i="9"/>
  <c r="V117" i="1"/>
  <c r="H117" i="9"/>
  <c r="G121" i="9"/>
  <c r="G137" i="9"/>
  <c r="V26" i="1"/>
  <c r="H26" i="9"/>
  <c r="V38" i="1"/>
  <c r="H38" i="9"/>
  <c r="U59" i="1"/>
  <c r="V62" i="1"/>
  <c r="H62" i="9"/>
  <c r="G64" i="9"/>
  <c r="I64" i="9"/>
  <c r="U75" i="1"/>
  <c r="V78" i="1"/>
  <c r="H78" i="9"/>
  <c r="G88" i="9"/>
  <c r="G104" i="9"/>
  <c r="I104" i="9"/>
  <c r="I112" i="9"/>
  <c r="G136" i="9"/>
  <c r="G144" i="9"/>
  <c r="I169" i="9"/>
  <c r="G86" i="9"/>
  <c r="G94" i="9"/>
  <c r="G90" i="9"/>
  <c r="I93" i="9"/>
  <c r="I106" i="9"/>
  <c r="I108" i="9"/>
  <c r="I109" i="9"/>
  <c r="I114" i="9"/>
  <c r="I117" i="9"/>
  <c r="I124" i="9"/>
  <c r="I132" i="9"/>
  <c r="G138" i="9"/>
  <c r="G152" i="9"/>
  <c r="I152" i="9"/>
  <c r="G154" i="9"/>
  <c r="I154" i="9"/>
  <c r="I160" i="9"/>
  <c r="G162" i="9"/>
  <c r="G164" i="9"/>
  <c r="I164" i="9"/>
  <c r="G168" i="9"/>
  <c r="G170" i="9"/>
  <c r="I170" i="9"/>
  <c r="I37" i="9"/>
  <c r="G102" i="9"/>
  <c r="I102" i="9"/>
  <c r="G118" i="9"/>
  <c r="G150" i="9"/>
  <c r="I150" i="9"/>
  <c r="U87" i="1"/>
  <c r="U95" i="1"/>
  <c r="I95" i="9"/>
  <c r="U111" i="1"/>
  <c r="G111" i="9"/>
  <c r="U127" i="1"/>
  <c r="G127" i="9"/>
  <c r="U135" i="1"/>
  <c r="U143" i="1"/>
  <c r="I143" i="9"/>
  <c r="G91" i="9"/>
  <c r="I91" i="9"/>
  <c r="G41" i="9"/>
  <c r="G79" i="9"/>
  <c r="I79" i="9"/>
  <c r="H14" i="9"/>
  <c r="G67" i="9"/>
  <c r="I67" i="9"/>
  <c r="G151" i="9"/>
  <c r="G87" i="9"/>
  <c r="I87" i="9"/>
  <c r="G59" i="9"/>
  <c r="G51" i="9"/>
  <c r="G27" i="9"/>
  <c r="G43" i="9"/>
  <c r="G75" i="9"/>
  <c r="H58" i="9"/>
  <c r="G39" i="9"/>
  <c r="G71" i="9"/>
  <c r="G135" i="9"/>
  <c r="G143" i="9"/>
  <c r="I111" i="9"/>
  <c r="I62" i="9"/>
  <c r="G31" i="9"/>
  <c r="V4" i="1"/>
  <c r="U7" i="1"/>
  <c r="U10" i="1"/>
  <c r="U25" i="1"/>
  <c r="H31" i="9"/>
  <c r="I31" i="9"/>
  <c r="V75" i="1"/>
  <c r="V89" i="1"/>
  <c r="U92" i="1"/>
  <c r="G103" i="9"/>
  <c r="I103" i="9"/>
  <c r="U126" i="1"/>
  <c r="H130" i="9"/>
  <c r="I130" i="9"/>
  <c r="H149" i="9"/>
  <c r="I149" i="9"/>
  <c r="U18" i="1"/>
  <c r="I19" i="9"/>
  <c r="G19" i="9"/>
  <c r="U55" i="1"/>
  <c r="U56" i="1"/>
  <c r="I58" i="9"/>
  <c r="G58" i="9"/>
  <c r="I73" i="9"/>
  <c r="G73" i="9"/>
  <c r="G84" i="9"/>
  <c r="I84" i="9"/>
  <c r="U134" i="1"/>
  <c r="V138" i="1"/>
  <c r="H144" i="9"/>
  <c r="I144" i="9"/>
  <c r="G148" i="9"/>
  <c r="I148" i="9"/>
  <c r="H9" i="9"/>
  <c r="I9" i="9"/>
  <c r="H11" i="9"/>
  <c r="I11" i="9"/>
  <c r="H24" i="9"/>
  <c r="I24" i="9"/>
  <c r="U29" i="1"/>
  <c r="U44" i="1"/>
  <c r="I52" i="9"/>
  <c r="G52" i="9"/>
  <c r="G125" i="9"/>
  <c r="I125" i="9"/>
  <c r="I129" i="9"/>
  <c r="V137" i="1"/>
  <c r="G140" i="9"/>
  <c r="I140" i="9"/>
  <c r="V147" i="1"/>
  <c r="H147" i="9"/>
  <c r="U159" i="1"/>
  <c r="U8" i="1"/>
  <c r="I80" i="9"/>
  <c r="G80" i="9"/>
  <c r="V139" i="1"/>
  <c r="H139" i="9"/>
  <c r="U35" i="1"/>
  <c r="I40" i="9"/>
  <c r="G40" i="9"/>
  <c r="U48" i="1"/>
  <c r="V88" i="1"/>
  <c r="G98" i="9"/>
  <c r="I98" i="9"/>
  <c r="I6" i="9"/>
  <c r="G6" i="9"/>
  <c r="U13" i="1"/>
  <c r="U22" i="1"/>
  <c r="G46" i="9"/>
  <c r="I46" i="9"/>
  <c r="G47" i="9"/>
  <c r="I47" i="9"/>
  <c r="V51" i="1"/>
  <c r="G53" i="9"/>
  <c r="I53" i="9"/>
  <c r="V59" i="1"/>
  <c r="H59" i="9"/>
  <c r="G83" i="9"/>
  <c r="I83" i="9"/>
  <c r="U85" i="1"/>
  <c r="V90" i="1"/>
  <c r="I97" i="9"/>
  <c r="G97" i="9"/>
  <c r="G133" i="9"/>
  <c r="I133" i="9"/>
  <c r="V136" i="1"/>
  <c r="V146" i="1"/>
  <c r="H146" i="9"/>
  <c r="U163" i="1"/>
  <c r="G157" i="9"/>
  <c r="I157" i="9"/>
  <c r="U38" i="1"/>
  <c r="U105" i="1"/>
  <c r="G107" i="9"/>
  <c r="I107" i="9"/>
  <c r="U128" i="1"/>
  <c r="Q85" i="15"/>
  <c r="Q58" i="15"/>
  <c r="Q52" i="15"/>
  <c r="N10" i="11"/>
  <c r="AL7" i="10"/>
  <c r="F10" i="11"/>
  <c r="AS10" i="10"/>
  <c r="AT10" i="10"/>
  <c r="I71" i="9"/>
  <c r="G160" i="9"/>
  <c r="I72" i="9"/>
  <c r="V5" i="1"/>
  <c r="H5" i="9"/>
  <c r="U42" i="1"/>
  <c r="U61" i="1"/>
  <c r="U123" i="1"/>
  <c r="U167" i="1"/>
  <c r="Q73" i="15"/>
  <c r="Q71" i="15"/>
  <c r="Q59" i="15"/>
  <c r="D41" i="11"/>
  <c r="AS41" i="10"/>
  <c r="AT41" i="10"/>
  <c r="O11" i="15"/>
  <c r="O7" i="15"/>
  <c r="O7" i="11"/>
  <c r="K11" i="11"/>
  <c r="K11" i="15"/>
  <c r="K7" i="15"/>
  <c r="AC7" i="10"/>
  <c r="G11" i="11"/>
  <c r="G11" i="15"/>
  <c r="Q7" i="10"/>
  <c r="AS11" i="10"/>
  <c r="AT11" i="10"/>
  <c r="C11" i="11"/>
  <c r="I66" i="9"/>
  <c r="I34" i="9"/>
  <c r="I14" i="9"/>
  <c r="I70" i="9"/>
  <c r="I65" i="9"/>
  <c r="I82" i="9"/>
  <c r="I110" i="9"/>
  <c r="I162" i="9"/>
  <c r="I141" i="9"/>
  <c r="I122" i="9"/>
  <c r="I116" i="9"/>
  <c r="I100" i="9"/>
  <c r="U23" i="1"/>
  <c r="I145" i="9"/>
  <c r="I39" i="9"/>
  <c r="I36" i="9"/>
  <c r="I147" i="9"/>
  <c r="U49" i="1"/>
  <c r="I131" i="9"/>
  <c r="U165" i="1"/>
  <c r="G153" i="9"/>
  <c r="I153" i="9"/>
  <c r="I5" i="9"/>
  <c r="V69" i="1"/>
  <c r="H69" i="9"/>
  <c r="I69" i="9"/>
  <c r="G69" i="9"/>
  <c r="U81" i="1"/>
  <c r="U96" i="1"/>
  <c r="U99" i="1"/>
  <c r="U119" i="1"/>
  <c r="I121" i="9"/>
  <c r="V135" i="1"/>
  <c r="H135" i="9"/>
  <c r="U155" i="1"/>
  <c r="AR7" i="10"/>
  <c r="Q64" i="15"/>
  <c r="Q15" i="15"/>
  <c r="Q65" i="11"/>
  <c r="Q65" i="14"/>
  <c r="D65" i="15"/>
  <c r="Q65" i="15"/>
  <c r="Q62" i="11"/>
  <c r="Q62" i="14"/>
  <c r="F62" i="15"/>
  <c r="Q61" i="15"/>
  <c r="Q60" i="11"/>
  <c r="Q60" i="14"/>
  <c r="C60" i="15"/>
  <c r="Q60" i="15"/>
  <c r="Q27" i="11"/>
  <c r="Q27" i="14"/>
  <c r="C27" i="15"/>
  <c r="Q27" i="15"/>
  <c r="Q44" i="15"/>
  <c r="I161" i="9"/>
  <c r="V158" i="1"/>
  <c r="H158" i="9"/>
  <c r="Q55" i="15"/>
  <c r="J10" i="11"/>
  <c r="Z7" i="10"/>
  <c r="I15" i="9"/>
  <c r="I127" i="9"/>
  <c r="I50" i="9"/>
  <c r="I156" i="9"/>
  <c r="I60" i="9"/>
  <c r="U21" i="1"/>
  <c r="G139" i="9"/>
  <c r="I139" i="9"/>
  <c r="U166" i="1"/>
  <c r="I63" i="9"/>
  <c r="I78" i="9"/>
  <c r="G95" i="9"/>
  <c r="I158" i="9"/>
  <c r="I146" i="9"/>
  <c r="I45" i="9"/>
  <c r="I120" i="9"/>
  <c r="I59" i="9"/>
  <c r="V101" i="1"/>
  <c r="I20" i="9"/>
  <c r="G161" i="9"/>
  <c r="I94" i="9"/>
  <c r="U12" i="1"/>
  <c r="I16" i="9"/>
  <c r="G26" i="9"/>
  <c r="U28" i="1"/>
  <c r="U30" i="1"/>
  <c r="I33" i="9"/>
  <c r="G54" i="9"/>
  <c r="H168" i="9"/>
  <c r="I168" i="9"/>
  <c r="H171" i="9"/>
  <c r="I171" i="9"/>
  <c r="N7" i="10"/>
  <c r="AO7" i="10"/>
  <c r="Q37" i="15"/>
  <c r="Q34" i="15"/>
  <c r="P7" i="11"/>
  <c r="Q75" i="11"/>
  <c r="Q75" i="14"/>
  <c r="C75" i="15"/>
  <c r="Q75" i="15"/>
  <c r="Q72" i="11"/>
  <c r="Q72" i="14"/>
  <c r="C72" i="15"/>
  <c r="Q72" i="15"/>
  <c r="Q76" i="15"/>
  <c r="Q62" i="15"/>
  <c r="F46" i="15"/>
  <c r="Q46" i="15"/>
  <c r="Q43" i="15"/>
  <c r="Q40" i="15"/>
  <c r="Q28" i="15"/>
  <c r="Q24" i="15"/>
  <c r="Q46" i="11"/>
  <c r="Q46" i="14"/>
  <c r="F50" i="11"/>
  <c r="F50" i="15"/>
  <c r="E50" i="15"/>
  <c r="Q50" i="15"/>
  <c r="AS50" i="10"/>
  <c r="AT50" i="10"/>
  <c r="AS48" i="10"/>
  <c r="AT48" i="10"/>
  <c r="C48" i="11"/>
  <c r="Q42" i="11"/>
  <c r="Q42" i="14"/>
  <c r="F18" i="11"/>
  <c r="AS18" i="10"/>
  <c r="AT18" i="10"/>
  <c r="AS16" i="10"/>
  <c r="AT16" i="10"/>
  <c r="C16" i="11"/>
  <c r="P7" i="15"/>
  <c r="H12" i="11"/>
  <c r="T7" i="10"/>
  <c r="D12" i="11"/>
  <c r="H7" i="10"/>
  <c r="AI7" i="10"/>
  <c r="M10" i="11"/>
  <c r="W7" i="10"/>
  <c r="I10" i="11"/>
  <c r="K7" i="10"/>
  <c r="E10" i="11"/>
  <c r="Q87" i="15"/>
  <c r="Q77" i="15"/>
  <c r="Q74" i="15"/>
  <c r="Q70" i="15"/>
  <c r="D49" i="15"/>
  <c r="Q49" i="15"/>
  <c r="E42" i="15"/>
  <c r="Q42" i="15"/>
  <c r="Q25" i="15"/>
  <c r="Q57" i="11"/>
  <c r="Q57" i="14"/>
  <c r="D57" i="15"/>
  <c r="Q57" i="15"/>
  <c r="Q54" i="11"/>
  <c r="Q54" i="14"/>
  <c r="Q52" i="11"/>
  <c r="Q52" i="14"/>
  <c r="Q47" i="11"/>
  <c r="Q47" i="14"/>
  <c r="C47" i="15"/>
  <c r="Q47" i="15"/>
  <c r="AS83" i="10"/>
  <c r="AT83" i="10"/>
  <c r="C83" i="11"/>
  <c r="AS65" i="10"/>
  <c r="AT65" i="10"/>
  <c r="AS51" i="10"/>
  <c r="AT51" i="10"/>
  <c r="C51" i="11"/>
  <c r="Q31" i="15"/>
  <c r="L7" i="15"/>
  <c r="Q67" i="11"/>
  <c r="Q67" i="14"/>
  <c r="C67" i="15"/>
  <c r="Q67" i="15"/>
  <c r="Q64" i="11"/>
  <c r="Q64" i="14"/>
  <c r="Q55" i="11"/>
  <c r="Q55" i="14"/>
  <c r="F26" i="15"/>
  <c r="Q26" i="15"/>
  <c r="Q26" i="11"/>
  <c r="Q26" i="14"/>
  <c r="Q24" i="11"/>
  <c r="Q24" i="14"/>
  <c r="Q23" i="15"/>
  <c r="Q20" i="15"/>
  <c r="Q17" i="15"/>
  <c r="Q14" i="15"/>
  <c r="Q87" i="11"/>
  <c r="Q87" i="14"/>
  <c r="Q84" i="11"/>
  <c r="Q84" i="14"/>
  <c r="Q81" i="11"/>
  <c r="Q81" i="14"/>
  <c r="Q78" i="11"/>
  <c r="Q78" i="14"/>
  <c r="Q76" i="11"/>
  <c r="Q76" i="14"/>
  <c r="Q35" i="11"/>
  <c r="Q35" i="14"/>
  <c r="C35" i="15"/>
  <c r="Q35" i="15"/>
  <c r="Q32" i="11"/>
  <c r="Q32" i="14"/>
  <c r="Q17" i="11"/>
  <c r="Q17" i="14"/>
  <c r="AS75" i="10"/>
  <c r="AT75" i="10"/>
  <c r="AS72" i="10"/>
  <c r="AT72" i="10"/>
  <c r="AS33" i="10"/>
  <c r="AT33" i="10"/>
  <c r="AS19" i="10"/>
  <c r="AT19" i="10"/>
  <c r="C19" i="11"/>
  <c r="Q79" i="15"/>
  <c r="Q63" i="15"/>
  <c r="Q39" i="15"/>
  <c r="Q36" i="15"/>
  <c r="Q33" i="15"/>
  <c r="Q30" i="15"/>
  <c r="Q79" i="11"/>
  <c r="Q79" i="14"/>
  <c r="Q71" i="11"/>
  <c r="Q71" i="14"/>
  <c r="Q59" i="11"/>
  <c r="Q59" i="14"/>
  <c r="Q56" i="11"/>
  <c r="Q56" i="14"/>
  <c r="Q43" i="11"/>
  <c r="Q43" i="14"/>
  <c r="Q40" i="11"/>
  <c r="Q40" i="14"/>
  <c r="Q34" i="11"/>
  <c r="Q34" i="14"/>
  <c r="F82" i="11"/>
  <c r="AS82" i="10"/>
  <c r="AT82" i="10"/>
  <c r="AS80" i="10"/>
  <c r="AT80" i="10"/>
  <c r="C80" i="11"/>
  <c r="Q74" i="11"/>
  <c r="Q74" i="14"/>
  <c r="AS43" i="10"/>
  <c r="AT43" i="10"/>
  <c r="AS40" i="10"/>
  <c r="AT40" i="10"/>
  <c r="L7" i="11"/>
  <c r="G7" i="11"/>
  <c r="AS9" i="10"/>
  <c r="C9" i="11"/>
  <c r="AS59" i="10"/>
  <c r="AT59" i="10"/>
  <c r="AS56" i="10"/>
  <c r="AT56" i="10"/>
  <c r="AS27" i="10"/>
  <c r="AT27" i="10"/>
  <c r="AS24" i="10"/>
  <c r="AT24" i="10"/>
  <c r="G9" i="15"/>
  <c r="G7" i="15"/>
  <c r="Q70" i="11"/>
  <c r="Q70" i="14"/>
  <c r="Q68" i="11"/>
  <c r="Q68" i="14"/>
  <c r="Q63" i="11"/>
  <c r="Q63" i="14"/>
  <c r="AS67" i="10"/>
  <c r="AT67" i="10"/>
  <c r="AS64" i="10"/>
  <c r="AT64" i="10"/>
  <c r="AS35" i="10"/>
  <c r="AT35" i="10"/>
  <c r="AS32" i="10"/>
  <c r="AT32" i="10"/>
  <c r="Q44" i="11"/>
  <c r="Q44" i="14"/>
  <c r="Q39" i="11"/>
  <c r="Q39" i="14"/>
  <c r="Q36" i="11"/>
  <c r="Q36" i="14"/>
  <c r="Q31" i="11"/>
  <c r="Q31" i="14"/>
  <c r="Q28" i="11"/>
  <c r="Q28" i="14"/>
  <c r="Q23" i="11"/>
  <c r="Q23" i="14"/>
  <c r="Q20" i="11"/>
  <c r="Q20" i="14"/>
  <c r="Q15" i="11"/>
  <c r="Q15" i="14"/>
  <c r="AS87" i="10"/>
  <c r="AT87" i="10"/>
  <c r="AS84" i="10"/>
  <c r="AT84" i="10"/>
  <c r="AS79" i="10"/>
  <c r="AT79" i="10"/>
  <c r="AS76" i="10"/>
  <c r="AT76" i="10"/>
  <c r="AS71" i="10"/>
  <c r="AT71" i="10"/>
  <c r="AS68" i="10"/>
  <c r="AT68" i="10"/>
  <c r="AS63" i="10"/>
  <c r="AT63" i="10"/>
  <c r="AS60" i="10"/>
  <c r="AT60" i="10"/>
  <c r="AS55" i="10"/>
  <c r="AT55" i="10"/>
  <c r="AS52" i="10"/>
  <c r="AT52" i="10"/>
  <c r="AS47" i="10"/>
  <c r="AT47" i="10"/>
  <c r="AS44" i="10"/>
  <c r="AT44" i="10"/>
  <c r="AS39" i="10"/>
  <c r="AT39" i="10"/>
  <c r="AS36" i="10"/>
  <c r="AT36" i="10"/>
  <c r="AS31" i="10"/>
  <c r="AT31" i="10"/>
  <c r="AS28" i="10"/>
  <c r="AT28" i="10"/>
  <c r="AS23" i="10"/>
  <c r="AT23" i="10"/>
  <c r="AS20" i="10"/>
  <c r="AT20" i="10"/>
  <c r="AS15" i="10"/>
  <c r="AT15" i="10"/>
  <c r="AS12" i="10"/>
  <c r="AT12" i="10"/>
  <c r="C12" i="15"/>
  <c r="Q80" i="11"/>
  <c r="Q80" i="14"/>
  <c r="C80" i="15"/>
  <c r="Q80" i="15"/>
  <c r="Q51" i="11"/>
  <c r="Q51" i="14"/>
  <c r="C51" i="15"/>
  <c r="Q51" i="15"/>
  <c r="G166" i="9"/>
  <c r="I166" i="9"/>
  <c r="I61" i="9"/>
  <c r="G61" i="9"/>
  <c r="I44" i="9"/>
  <c r="G44" i="9"/>
  <c r="I134" i="9"/>
  <c r="G134" i="9"/>
  <c r="H75" i="9"/>
  <c r="I75" i="9"/>
  <c r="Q82" i="11"/>
  <c r="Q82" i="14"/>
  <c r="F82" i="15"/>
  <c r="Q82" i="15"/>
  <c r="Q83" i="11"/>
  <c r="Q83" i="14"/>
  <c r="C83" i="15"/>
  <c r="Q83" i="15"/>
  <c r="I7" i="11"/>
  <c r="I10" i="15"/>
  <c r="I7" i="15"/>
  <c r="F18" i="15"/>
  <c r="Q18" i="15"/>
  <c r="Q18" i="11"/>
  <c r="Q18" i="14"/>
  <c r="J7" i="11"/>
  <c r="J10" i="15"/>
  <c r="J7" i="15"/>
  <c r="G119" i="9"/>
  <c r="I119" i="9"/>
  <c r="I96" i="9"/>
  <c r="G96" i="9"/>
  <c r="G165" i="9"/>
  <c r="I165" i="9"/>
  <c r="G23" i="9"/>
  <c r="I23" i="9"/>
  <c r="I135" i="9"/>
  <c r="Q11" i="11"/>
  <c r="Q11" i="14"/>
  <c r="C11" i="15"/>
  <c r="Q11" i="15"/>
  <c r="G38" i="9"/>
  <c r="I38" i="9"/>
  <c r="G163" i="9"/>
  <c r="I163" i="9"/>
  <c r="H136" i="9"/>
  <c r="I136" i="9"/>
  <c r="G85" i="9"/>
  <c r="I85" i="9"/>
  <c r="H51" i="9"/>
  <c r="I51" i="9"/>
  <c r="G13" i="9"/>
  <c r="I13" i="9"/>
  <c r="G48" i="9"/>
  <c r="I48" i="9"/>
  <c r="I35" i="9"/>
  <c r="G35" i="9"/>
  <c r="G159" i="9"/>
  <c r="I159" i="9"/>
  <c r="I56" i="9"/>
  <c r="G56" i="9"/>
  <c r="I126" i="9"/>
  <c r="G126" i="9"/>
  <c r="I25" i="9"/>
  <c r="G25" i="9"/>
  <c r="Q16" i="11"/>
  <c r="Q16" i="14"/>
  <c r="C16" i="15"/>
  <c r="Q16" i="15"/>
  <c r="H101" i="9"/>
  <c r="I101" i="9"/>
  <c r="Q9" i="11"/>
  <c r="C7" i="11"/>
  <c r="C9" i="15"/>
  <c r="Q19" i="11"/>
  <c r="Q19" i="14"/>
  <c r="C19" i="15"/>
  <c r="Q19" i="15"/>
  <c r="Q10" i="11"/>
  <c r="Q10" i="14"/>
  <c r="E10" i="15"/>
  <c r="E7" i="11"/>
  <c r="M7" i="11"/>
  <c r="M10" i="15"/>
  <c r="M7" i="15"/>
  <c r="Q48" i="11"/>
  <c r="Q48" i="14"/>
  <c r="C48" i="15"/>
  <c r="Q48" i="15"/>
  <c r="G30" i="9"/>
  <c r="I30" i="9"/>
  <c r="I12" i="9"/>
  <c r="G12" i="9"/>
  <c r="G49" i="9"/>
  <c r="I49" i="9"/>
  <c r="I123" i="9"/>
  <c r="G123" i="9"/>
  <c r="I128" i="9"/>
  <c r="G128" i="9"/>
  <c r="G105" i="9"/>
  <c r="I105" i="9"/>
  <c r="H90" i="9"/>
  <c r="I90" i="9"/>
  <c r="G22" i="9"/>
  <c r="I22" i="9"/>
  <c r="H88" i="9"/>
  <c r="I88" i="9"/>
  <c r="I8" i="9"/>
  <c r="G8" i="9"/>
  <c r="H137" i="9"/>
  <c r="I137" i="9"/>
  <c r="G29" i="9"/>
  <c r="I29" i="9"/>
  <c r="T1" i="1"/>
  <c r="D12" i="15"/>
  <c r="D41" i="15"/>
  <c r="D7" i="15"/>
  <c r="D7" i="11"/>
  <c r="G21" i="9"/>
  <c r="I21" i="9"/>
  <c r="I155" i="9"/>
  <c r="G155" i="9"/>
  <c r="Q41" i="11"/>
  <c r="Q41" i="14"/>
  <c r="Q41" i="15"/>
  <c r="N7" i="11"/>
  <c r="N10" i="15"/>
  <c r="N7" i="15"/>
  <c r="G92" i="9"/>
  <c r="I92" i="9"/>
  <c r="I7" i="9"/>
  <c r="G7" i="9"/>
  <c r="Q12" i="11"/>
  <c r="Q12" i="14"/>
  <c r="K7" i="11"/>
  <c r="AS7" i="10"/>
  <c r="AT9" i="10"/>
  <c r="H12" i="15"/>
  <c r="H7" i="15"/>
  <c r="H7" i="11"/>
  <c r="Q50" i="11"/>
  <c r="Q50" i="14"/>
  <c r="G28" i="9"/>
  <c r="I28" i="9"/>
  <c r="G99" i="9"/>
  <c r="I99" i="9"/>
  <c r="G81" i="9"/>
  <c r="I81" i="9"/>
  <c r="I167" i="9"/>
  <c r="G167" i="9"/>
  <c r="G42" i="9"/>
  <c r="I42" i="9"/>
  <c r="F7" i="11"/>
  <c r="F10" i="15"/>
  <c r="F7" i="15"/>
  <c r="H138" i="9"/>
  <c r="I138" i="9"/>
  <c r="G55" i="9"/>
  <c r="I55" i="9"/>
  <c r="G18" i="9"/>
  <c r="I18" i="9"/>
  <c r="H89" i="9"/>
  <c r="I89" i="9"/>
  <c r="I10" i="9"/>
  <c r="G10" i="9"/>
  <c r="H4" i="9"/>
  <c r="E7" i="15"/>
  <c r="Q10" i="15"/>
  <c r="Q9" i="15"/>
  <c r="Q12" i="15"/>
  <c r="Q7" i="15"/>
  <c r="C7" i="15"/>
  <c r="W1" i="1"/>
  <c r="I4" i="9"/>
  <c r="I1" i="9"/>
  <c r="Q9" i="14"/>
  <c r="Q7" i="11"/>
</calcChain>
</file>

<file path=xl/sharedStrings.xml><?xml version="1.0" encoding="utf-8"?>
<sst xmlns="http://schemas.openxmlformats.org/spreadsheetml/2006/main" count="2435" uniqueCount="165">
  <si>
    <t/>
  </si>
  <si>
    <t>Provinsi</t>
  </si>
  <si>
    <t>KabupatenKota</t>
  </si>
  <si>
    <t>Periode</t>
  </si>
  <si>
    <t>N</t>
  </si>
  <si>
    <t>Pn</t>
  </si>
  <si>
    <t>Print date: 2018-09-12 15:35</t>
  </si>
  <si>
    <t>Nama_Provinsi</t>
  </si>
  <si>
    <t>Nama_KabupatenKota</t>
  </si>
  <si>
    <t>Jumlah_RTP</t>
  </si>
  <si>
    <t>Produksi 2017</t>
  </si>
  <si>
    <t>Validasi Pusat</t>
  </si>
  <si>
    <t>Validasi Daerah</t>
  </si>
  <si>
    <t>Final</t>
  </si>
  <si>
    <t>by Sampling</t>
  </si>
  <si>
    <t>Agregat Final</t>
  </si>
  <si>
    <t>Row Labels</t>
  </si>
  <si>
    <t>Grand Total</t>
  </si>
  <si>
    <t>Sum of Jumlah_RTP</t>
  </si>
  <si>
    <t>ID</t>
  </si>
  <si>
    <t>Jenis Budidaya</t>
  </si>
  <si>
    <t>Column Labels</t>
  </si>
  <si>
    <t>Jenis Ikan</t>
  </si>
  <si>
    <t>Ada/Tidak</t>
  </si>
  <si>
    <t>Arwana</t>
  </si>
  <si>
    <t>Koi</t>
  </si>
  <si>
    <t>KABUPATEN/KOTA</t>
  </si>
  <si>
    <t>Tata Cara Penggunaan File Validasi</t>
  </si>
  <si>
    <t>N (m²)</t>
  </si>
  <si>
    <t>n (m²)</t>
  </si>
  <si>
    <t>Semester</t>
  </si>
  <si>
    <t>Semester 2</t>
  </si>
  <si>
    <t>Total Produksi by Jenis Ikan</t>
  </si>
  <si>
    <t>Produksi by Jenis Budidaya (Sheet 3)</t>
  </si>
  <si>
    <t>Total Nilai Semester 2</t>
  </si>
  <si>
    <t>HARGA AVG</t>
  </si>
  <si>
    <t>Total Produksi by Jenis Ikan (Sheet 4)</t>
  </si>
  <si>
    <t>Ikan_01_Laut</t>
  </si>
  <si>
    <t>Ikan_02_Laut</t>
  </si>
  <si>
    <t>Ikan_03_Laut</t>
  </si>
  <si>
    <t>Ikan_04_Tawar</t>
  </si>
  <si>
    <t>Ikan_05_Tawar</t>
  </si>
  <si>
    <t>Ikan_06_Tawar</t>
  </si>
  <si>
    <t>Produksi by Jenis Ikan (Kg)</t>
  </si>
  <si>
    <t>Nilai Produksi by Jenis Ikan (Rp.)</t>
  </si>
  <si>
    <t>Ikan Hias Air Laut</t>
  </si>
  <si>
    <t>Ikan Hias Air Tawar</t>
  </si>
  <si>
    <t>*) Produksi dalam satuan ekor</t>
  </si>
  <si>
    <t>Grand Total (ekor)</t>
  </si>
  <si>
    <t>**) N: Luas lahan wadah (m²)</t>
  </si>
  <si>
    <t>P (ekor)</t>
  </si>
  <si>
    <t>Pn (ekor/m²)</t>
  </si>
  <si>
    <t>Agregat Sampling (ekor)</t>
  </si>
  <si>
    <t>Agregat Final (ekor)</t>
  </si>
  <si>
    <t>Ikan_Hias_Air_Laut</t>
  </si>
  <si>
    <t>Ikan_Hias_Air_Tawar</t>
  </si>
  <si>
    <t>Banggai Cardinalfish</t>
  </si>
  <si>
    <t>Blue Devil/Betok Ambon</t>
  </si>
  <si>
    <t>Kuda Laut</t>
  </si>
  <si>
    <t>Mandarin Fish</t>
  </si>
  <si>
    <t>Nemo</t>
  </si>
  <si>
    <t>Akara</t>
  </si>
  <si>
    <t>Arwana Silver</t>
  </si>
  <si>
    <t>Arwana Super Red</t>
  </si>
  <si>
    <t>Barbir</t>
  </si>
  <si>
    <t>Barbus</t>
  </si>
  <si>
    <t>Baster</t>
  </si>
  <si>
    <t>Blue Cerry</t>
  </si>
  <si>
    <t>Blue Eye</t>
  </si>
  <si>
    <t xml:space="preserve">Bluncat, Mollon </t>
  </si>
  <si>
    <t>Botia</t>
  </si>
  <si>
    <t>Bueness Aries</t>
  </si>
  <si>
    <t>Ciclid</t>
  </si>
  <si>
    <t>Corydoras</t>
  </si>
  <si>
    <t>Cteno Phoma</t>
  </si>
  <si>
    <t>Cupang</t>
  </si>
  <si>
    <t>Diskus</t>
  </si>
  <si>
    <t>Frontosa</t>
  </si>
  <si>
    <t>Greend Tiger</t>
  </si>
  <si>
    <t>Guppy; Gupi; Gapi</t>
  </si>
  <si>
    <t>Harlequin</t>
  </si>
  <si>
    <t>Head Standar</t>
  </si>
  <si>
    <t>Ikan Hantu/Black Ghost</t>
  </si>
  <si>
    <t>Ikan Pedang, Ikan Pedang, Tumbuk, Thoek Kojek</t>
  </si>
  <si>
    <t>Kaisar</t>
  </si>
  <si>
    <t>Kar Tetra</t>
  </si>
  <si>
    <t>Koki</t>
  </si>
  <si>
    <t>Komet</t>
  </si>
  <si>
    <t>Kongo Neon</t>
  </si>
  <si>
    <t>Kongo Salem</t>
  </si>
  <si>
    <t>Lalia</t>
  </si>
  <si>
    <t>Lemon</t>
  </si>
  <si>
    <t>Leuleupi</t>
  </si>
  <si>
    <t>Lobster Hias</t>
  </si>
  <si>
    <t>Louhan</t>
  </si>
  <si>
    <t>Manvis</t>
  </si>
  <si>
    <t>Marble</t>
  </si>
  <si>
    <t>Micky Mouse</t>
  </si>
  <si>
    <t>Moli</t>
  </si>
  <si>
    <t>Mulut Api</t>
  </si>
  <si>
    <t>Neon Api</t>
  </si>
  <si>
    <t>Neon Berlian</t>
  </si>
  <si>
    <t>Neon Tetra</t>
  </si>
  <si>
    <t>Niasa</t>
  </si>
  <si>
    <t>Oskar</t>
  </si>
  <si>
    <t>Palmari</t>
  </si>
  <si>
    <t>Palmas</t>
  </si>
  <si>
    <t>Pancak</t>
  </si>
  <si>
    <t>Paradis</t>
  </si>
  <si>
    <t>Phantom Merah</t>
  </si>
  <si>
    <t>Plati</t>
  </si>
  <si>
    <t>Plati Coral</t>
  </si>
  <si>
    <t>Plati Pedang</t>
  </si>
  <si>
    <t>Rainbow</t>
  </si>
  <si>
    <t>Red Devil</t>
  </si>
  <si>
    <t>Red Nose</t>
  </si>
  <si>
    <t>Rocket</t>
  </si>
  <si>
    <t>Sapu Hias</t>
  </si>
  <si>
    <t>Sepat Siam</t>
  </si>
  <si>
    <t>Silver Dolar</t>
  </si>
  <si>
    <t>Silver Slayer</t>
  </si>
  <si>
    <t>Sodahar</t>
  </si>
  <si>
    <t>Sumatra Albino</t>
  </si>
  <si>
    <t>Tetra</t>
  </si>
  <si>
    <t>Tiger Sumatra</t>
  </si>
  <si>
    <t>Vilivera</t>
  </si>
  <si>
    <t>Zebra</t>
  </si>
  <si>
    <t>Sum of Agregat Final (ekor)</t>
  </si>
  <si>
    <t>Sum of Agregat Sampling (ekor)</t>
  </si>
  <si>
    <t>KALIMANTAN TENGAH</t>
  </si>
  <si>
    <t>KAB. BARITO SELATAN</t>
  </si>
  <si>
    <t>KAB. BARITO TIMUR</t>
  </si>
  <si>
    <t>KAB. BARITO UTARA</t>
  </si>
  <si>
    <t>KAB. GUNUNG MAS</t>
  </si>
  <si>
    <t>KAB. KAPUAS</t>
  </si>
  <si>
    <t>KAB. KATINGAN</t>
  </si>
  <si>
    <t>KAB. KOTAWARINGIN BARAT</t>
  </si>
  <si>
    <t>KAB. KOTAWARINGIN TIMUR</t>
  </si>
  <si>
    <t>KAB. LAMANDAU</t>
  </si>
  <si>
    <t>KAB. MURUNG RAYA</t>
  </si>
  <si>
    <t>KAB. PULANG PISAU</t>
  </si>
  <si>
    <t>KAB. SERUYAN</t>
  </si>
  <si>
    <t>KAB. SUKAMARA</t>
  </si>
  <si>
    <t>KOTA PALANGKARAYA</t>
  </si>
  <si>
    <t>Values</t>
  </si>
  <si>
    <t>KAB. BARITO SELATAN Total</t>
  </si>
  <si>
    <t>KAB. BARITO TIMUR Total</t>
  </si>
  <si>
    <t>KAB. BARITO UTARA Total</t>
  </si>
  <si>
    <t>KAB. GUNUNG MAS Total</t>
  </si>
  <si>
    <t>KAB. KAPUAS Total</t>
  </si>
  <si>
    <t>KAB. KATINGAN Total</t>
  </si>
  <si>
    <t>KAB. KOTAWARINGIN BARAT Total</t>
  </si>
  <si>
    <t>KAB. KOTAWARINGIN TIMUR Total</t>
  </si>
  <si>
    <t>KAB. LAMANDAU Total</t>
  </si>
  <si>
    <t>KAB. MURUNG RAYA Total</t>
  </si>
  <si>
    <t>KAB. PULANG PISAU Total</t>
  </si>
  <si>
    <t>KAB. SERUYAN Total</t>
  </si>
  <si>
    <t>KAB. SUKAMARA Total</t>
  </si>
  <si>
    <t>KOTA PALANGKARAYA Total</t>
  </si>
  <si>
    <t>Agregat 2017 (ekor)</t>
  </si>
  <si>
    <t>Agregat Pusat (ekor)</t>
  </si>
  <si>
    <t>Agregat Daerah (ekor)</t>
  </si>
  <si>
    <t>Total Harga Semester 2 (Rp/ekor)</t>
  </si>
  <si>
    <t>Sum of Agregat Pusat (ekor)</t>
  </si>
  <si>
    <t>Sum of Agregat Daerah (ekor)</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</si>
</sst>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Rp&quot;* #,##0_-;\-&quot;Rp&quot;* #,##0_-;_-&quot;Rp&quot;* &quot;-&quot;_-;_-@_-"/>
    <numFmt numFmtId="41" formatCode="_-* #,##0_-;\-* #,##0_-;_-* &quot;-&quot;_-;_-@_-"/>
    <numFmt numFmtId="164" formatCode="_(* #,##0.00_);_(* \(#,##0.00\);_(* &quot;-&quot;??_);_(@_)"/>
    <numFmt numFmtId="165" formatCode="_(* #,##0_);_(* \(#,##0\);_(* &quot;-&quot;??_);_(@_)"/>
    <numFmt numFmtId="166" formatCode="_-* #,##0.00_-;\-* #,##0.00_-;_-* &quot;-&quot;_-;_-@_-"/>
    <numFmt numFmtId="167" formatCode="_(* #,##0.0_);_(* \(#,##0.0\);_(* &quot;-&quot;??_);_(@_)"/>
  </numFmts>
  <fonts count="11" x14ac:knownFonts="1">
    <font>
      <sz val="9"/>
      <color theme="1"/>
      <name val="Calibri"/>
      <family val="2"/>
    </font>
    <font>
      <sz val="11"/>
      <color theme="1"/>
      <name val="Calibri"/>
      <family val="2"/>
      <scheme val="minor"/>
    </font>
    <font>
      <sz val="11"/>
      <color theme="1"/>
      <name val="Calibri"/>
      <family val="2"/>
      <scheme val="minor"/>
    </font>
    <font>
      <sz val="11"/>
      <color theme="1"/>
      <name val="Calibri"/>
      <family val="2"/>
      <scheme val="minor"/>
    </font>
    <font>
      <sz val="9"/>
      <color theme="1"/>
      <name val="Calibri"/>
      <family val="2"/>
    </font>
    <font>
      <b/>
      <sz val="9"/>
      <color theme="0"/>
      <name val="Calibri"/>
      <family val="2"/>
    </font>
    <font>
      <b/>
      <sz val="9"/>
      <color theme="1"/>
      <name val="Calibri"/>
      <family val="2"/>
    </font>
    <font>
      <i/>
      <sz val="9"/>
      <color theme="1"/>
      <name val="Calibri"/>
      <family val="2"/>
    </font>
    <font>
      <b/>
      <i/>
      <sz val="9"/>
      <color theme="1"/>
      <name val="Calibri"/>
      <family val="2"/>
    </font>
    <font>
      <sz val="9"/>
      <name val="Calibri"/>
      <family val="2"/>
    </font>
    <font>
      <b/>
      <sz val="14"/>
      <color theme="1"/>
      <name val="Calibri"/>
      <family val="2"/>
    </font>
  </fonts>
  <fills count="9">
    <fill>
      <patternFill patternType="none"/>
    </fill>
    <fill>
      <patternFill patternType="gray125"/>
    </fill>
    <fill>
      <patternFill patternType="solid">
        <fgColor rgb="FFFFFFCC"/>
      </patternFill>
    </fill>
    <fill>
      <patternFill patternType="solid">
        <fgColor rgb="FF00B0F0"/>
        <bgColor indexed="64"/>
      </patternFill>
    </fill>
    <fill>
      <patternFill patternType="solid">
        <fgColor theme="4" tint="0.79998168889431442"/>
        <bgColor indexed="64"/>
      </patternFill>
    </fill>
    <fill>
      <patternFill patternType="solid">
        <fgColor rgb="FFFFFFCC"/>
        <bgColor indexed="64"/>
      </patternFill>
    </fill>
    <fill>
      <patternFill patternType="solid">
        <fgColor theme="4" tint="0.79998168889431442"/>
        <bgColor theme="4" tint="0.79998168889431442"/>
      </patternFill>
    </fill>
    <fill>
      <patternFill patternType="solid">
        <fgColor theme="0" tint="-0.14999847407452621"/>
        <bgColor theme="0" tint="-0.14999847407452621"/>
      </patternFill>
    </fill>
    <fill>
      <patternFill patternType="solid">
        <fgColor theme="0" tint="-0.499984740745262"/>
        <bgColor indexed="64"/>
      </patternFill>
    </fill>
  </fills>
  <borders count="7">
    <border>
      <left/>
      <right/>
      <top/>
      <bottom/>
      <diagonal/>
    </border>
    <border>
      <left style="thin">
        <color rgb="FFB2B2B2"/>
      </left>
      <right style="thin">
        <color rgb="FFB2B2B2"/>
      </right>
      <top style="thin">
        <color rgb="FFB2B2B2"/>
      </top>
      <bottom style="thin">
        <color rgb="FFB2B2B2"/>
      </bottom>
      <diagonal/>
    </border>
    <border>
      <left style="thin">
        <color rgb="FFB2B2B2"/>
      </left>
      <right/>
      <top style="thin">
        <color rgb="FFB2B2B2"/>
      </top>
      <bottom style="thin">
        <color rgb="FFB2B2B2"/>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bottom style="thin">
        <color theme="4" tint="0.39997558519241921"/>
      </bottom>
      <diagonal/>
    </border>
  </borders>
  <cellStyleXfs count="14">
    <xf numFmtId="0" fontId="0" fillId="0" borderId="0"/>
    <xf numFmtId="164" fontId="4" fillId="0" borderId="0" applyFont="0" applyFill="0" applyBorder="0" applyAlignment="0" applyProtection="0"/>
    <xf numFmtId="0" fontId="4" fillId="2" borderId="1" applyNumberFormat="0" applyFont="0" applyAlignment="0" applyProtection="0"/>
    <xf numFmtId="41" fontId="4" fillId="0" borderId="0" applyFont="0" applyFill="0" applyBorder="0" applyAlignment="0" applyProtection="0"/>
    <xf numFmtId="0" fontId="3" fillId="2" borderId="1" applyNumberFormat="0" applyFont="0" applyAlignment="0" applyProtection="0"/>
    <xf numFmtId="164" fontId="3" fillId="0" borderId="0" applyFont="0" applyFill="0" applyBorder="0" applyAlignment="0" applyProtection="0"/>
    <xf numFmtId="0" fontId="3" fillId="0" borderId="0"/>
    <xf numFmtId="0" fontId="2" fillId="2" borderId="1" applyNumberFormat="0" applyFont="0" applyAlignment="0" applyProtection="0"/>
    <xf numFmtId="164" fontId="2" fillId="0" borderId="0" applyFont="0" applyFill="0" applyBorder="0" applyAlignment="0" applyProtection="0"/>
    <xf numFmtId="0" fontId="2" fillId="0" borderId="0"/>
    <xf numFmtId="0" fontId="1" fillId="2" borderId="1" applyNumberFormat="0" applyFont="0" applyAlignment="0" applyProtection="0"/>
    <xf numFmtId="164" fontId="1" fillId="0" borderId="0" applyFont="0" applyFill="0" applyBorder="0" applyAlignment="0" applyProtection="0"/>
    <xf numFmtId="0" fontId="1" fillId="0" borderId="0"/>
    <xf numFmtId="42" fontId="4" fillId="0" borderId="0" applyFont="0" applyFill="0" applyBorder="0" applyAlignment="0" applyProtection="0"/>
  </cellStyleXfs>
  <cellXfs count="43">
    <xf numFmtId="0" fontId="0" fillId="0" borderId="0" xfId="0"/>
    <xf numFmtId="166" fontId="6" fillId="5" borderId="3" xfId="3" applyNumberFormat="1" applyFont="1" applyFill="1" applyBorder="1" applyAlignment="1" applyProtection="1">
      <alignment horizontal="centerContinuous" vertical="center"/>
    </xf>
    <xf numFmtId="166" fontId="6" fillId="5" borderId="4" xfId="3" applyNumberFormat="1" applyFont="1" applyFill="1" applyBorder="1" applyAlignment="1" applyProtection="1">
      <alignment horizontal="centerContinuous" vertical="center"/>
    </xf>
    <xf numFmtId="166" fontId="6" fillId="5" borderId="5" xfId="3" applyNumberFormat="1" applyFont="1" applyFill="1" applyBorder="1" applyAlignment="1" applyProtection="1">
      <alignment horizontal="centerContinuous" vertical="center"/>
    </xf>
    <xf numFmtId="165" fontId="0" fillId="0" borderId="0" xfId="1" applyNumberFormat="1" applyFont="1" applyProtection="1">
      <protection locked="0"/>
    </xf>
    <xf numFmtId="0" fontId="0" fillId="0" borderId="0" xfId="0" pivotButton="1"/>
    <xf numFmtId="0" fontId="0" fillId="0" borderId="0" xfId="0" applyAlignment="1">
      <alignment horizontal="left"/>
    </xf>
    <xf numFmtId="41" fontId="0" fillId="0" borderId="0" xfId="0" applyNumberFormat="1"/>
    <xf numFmtId="165" fontId="9" fillId="0" borderId="0" xfId="1" applyNumberFormat="1" applyFont="1" applyAlignment="1" applyProtection="1">
      <alignment horizontal="left" vertical="center" indent="1"/>
      <protection locked="0"/>
    </xf>
    <xf numFmtId="41" fontId="6" fillId="5" borderId="3" xfId="3" applyFont="1" applyFill="1" applyBorder="1" applyAlignment="1" applyProtection="1">
      <alignment horizontal="centerContinuous" vertical="center"/>
    </xf>
    <xf numFmtId="41" fontId="0" fillId="0" borderId="0" xfId="3" applyFont="1"/>
    <xf numFmtId="41" fontId="9" fillId="0" borderId="0" xfId="3" applyFont="1" applyAlignment="1" applyProtection="1">
      <alignment horizontal="left" vertical="center" indent="1"/>
      <protection locked="0"/>
    </xf>
    <xf numFmtId="41" fontId="9" fillId="0" borderId="0" xfId="3" applyFont="1" applyAlignment="1" applyProtection="1">
      <alignment horizontal="left" vertical="center" indent="1"/>
    </xf>
    <xf numFmtId="165" fontId="9" fillId="0" borderId="0" xfId="1" applyNumberFormat="1" applyFont="1" applyAlignment="1" applyProtection="1">
      <alignment horizontal="left" vertical="center" indent="1"/>
    </xf>
    <xf numFmtId="0" fontId="6" fillId="6" borderId="6" xfId="0" applyFont="1" applyFill="1" applyBorder="1"/>
    <xf numFmtId="0" fontId="8" fillId="0" borderId="0" xfId="0" applyFont="1" applyAlignment="1" applyProtection="1">
      <alignment horizontal="left" vertical="center" indent="1"/>
    </xf>
    <xf numFmtId="0" fontId="7" fillId="0" borderId="0" xfId="0" applyFont="1" applyAlignment="1" applyProtection="1">
      <alignment horizontal="left" vertical="center" indent="1"/>
    </xf>
    <xf numFmtId="0" fontId="5" fillId="3" borderId="0" xfId="0" applyFont="1" applyFill="1" applyAlignment="1" applyProtection="1">
      <alignment horizontal="left" vertical="center" indent="1"/>
    </xf>
    <xf numFmtId="164" fontId="5" fillId="3" borderId="0" xfId="1" applyNumberFormat="1" applyFont="1" applyFill="1" applyAlignment="1" applyProtection="1">
      <alignment horizontal="left" vertical="center" indent="1"/>
    </xf>
    <xf numFmtId="41" fontId="5" fillId="3" borderId="0" xfId="3" applyFont="1" applyFill="1" applyAlignment="1" applyProtection="1">
      <alignment horizontal="left" vertical="center" indent="1"/>
    </xf>
    <xf numFmtId="165" fontId="6" fillId="4" borderId="1" xfId="1" applyNumberFormat="1" applyFont="1" applyFill="1" applyBorder="1" applyAlignment="1" applyProtection="1">
      <alignment vertical="center"/>
    </xf>
    <xf numFmtId="0" fontId="0" fillId="0" borderId="0" xfId="0" applyProtection="1"/>
    <xf numFmtId="0" fontId="6" fillId="2" borderId="1" xfId="2" applyFont="1" applyBorder="1" applyAlignment="1" applyProtection="1">
      <alignment horizontal="left" vertical="center" indent="1"/>
    </xf>
    <xf numFmtId="0" fontId="6" fillId="2" borderId="2" xfId="2" applyFont="1" applyBorder="1" applyAlignment="1" applyProtection="1">
      <alignment horizontal="left" vertical="center" indent="1"/>
    </xf>
    <xf numFmtId="41" fontId="6" fillId="2" borderId="1" xfId="3" applyFont="1" applyFill="1" applyBorder="1" applyAlignment="1" applyProtection="1">
      <alignment horizontal="left" vertical="center" indent="1"/>
    </xf>
    <xf numFmtId="0" fontId="9" fillId="0" borderId="0" xfId="0" applyFont="1" applyAlignment="1" applyProtection="1">
      <alignment horizontal="left" vertical="center" indent="1"/>
    </xf>
    <xf numFmtId="41" fontId="0" fillId="0" borderId="0" xfId="3" applyFont="1" applyProtection="1"/>
    <xf numFmtId="0" fontId="6" fillId="7" borderId="6" xfId="0" applyFont="1" applyFill="1" applyBorder="1"/>
    <xf numFmtId="0" fontId="6" fillId="6" borderId="0" xfId="0" applyFont="1" applyFill="1"/>
    <xf numFmtId="41" fontId="6" fillId="6" borderId="6" xfId="3" applyFont="1" applyFill="1" applyBorder="1"/>
    <xf numFmtId="41" fontId="6" fillId="7" borderId="6" xfId="3" applyFont="1" applyFill="1" applyBorder="1" applyProtection="1"/>
    <xf numFmtId="167" fontId="6" fillId="4" borderId="1" xfId="1" applyNumberFormat="1" applyFont="1" applyFill="1" applyBorder="1" applyAlignment="1" applyProtection="1">
      <alignment vertical="center"/>
    </xf>
    <xf numFmtId="0" fontId="10" fillId="0" borderId="0" xfId="0" applyFont="1"/>
    <xf numFmtId="42" fontId="6" fillId="6" borderId="6" xfId="13" applyFont="1" applyFill="1" applyBorder="1"/>
    <xf numFmtId="42" fontId="0" fillId="0" borderId="0" xfId="13" applyFont="1"/>
    <xf numFmtId="42" fontId="0" fillId="0" borderId="0" xfId="13" applyFont="1" applyProtection="1">
      <protection locked="0"/>
    </xf>
    <xf numFmtId="0" fontId="6" fillId="6" borderId="6" xfId="0" applyFont="1" applyFill="1" applyBorder="1" applyProtection="1"/>
    <xf numFmtId="41" fontId="6" fillId="6" borderId="6" xfId="3" applyFont="1" applyFill="1" applyBorder="1" applyProtection="1"/>
    <xf numFmtId="42" fontId="6" fillId="6" borderId="6" xfId="13" applyFont="1" applyFill="1" applyBorder="1" applyProtection="1"/>
    <xf numFmtId="42" fontId="0" fillId="0" borderId="0" xfId="13" applyFont="1" applyProtection="1"/>
    <xf numFmtId="0" fontId="0" fillId="2" borderId="2" xfId="2" applyFont="1" applyBorder="1" applyAlignment="1" applyProtection="1">
      <alignment horizontal="left" vertical="center" indent="1"/>
    </xf>
    <xf numFmtId="164" fontId="0" fillId="0" borderId="0" xfId="1" applyFont="1" applyFill="1" applyProtection="1">
      <protection locked="0"/>
    </xf>
    <xf numFmtId="164" fontId="0" fillId="8" borderId="0" xfId="1" applyFont="1" applyFill="1" applyProtection="1"/>
  </cellXfs>
  <cellStyles count="14">
    <cellStyle name="Comma" xfId="1" builtinId="3"/>
    <cellStyle name="Comma [0]" xfId="3" builtinId="6"/>
    <cellStyle name="Comma 2" xfId="5"/>
    <cellStyle name="Comma 3" xfId="8"/>
    <cellStyle name="Comma 4" xfId="11"/>
    <cellStyle name="Currency [0]" xfId="13" builtinId="7"/>
    <cellStyle name="Normal" xfId="0" builtinId="0"/>
    <cellStyle name="Normal 2" xfId="6"/>
    <cellStyle name="Normal 3" xfId="9"/>
    <cellStyle name="Normal 4" xfId="12"/>
    <cellStyle name="Note" xfId="2" builtinId="10"/>
    <cellStyle name="Note 2" xfId="4"/>
    <cellStyle name="Note 3" xfId="7"/>
    <cellStyle name="Note 4" xfId="10"/>
  </cellStyles>
  <dxfs count="39">
    <dxf>
      <fill>
        <patternFill>
          <bgColor rgb="FFFF0000"/>
        </patternFill>
      </fill>
    </dxf>
    <dxf>
      <fill>
        <patternFill>
          <bgColor rgb="FFFF0000"/>
        </patternFill>
      </fill>
    </dxf>
    <dxf>
      <numFmt numFmtId="33" formatCode="_-* #,##0_-;\-* #,##0_-;_-* &quot;-&quot;_-;_-@_-"/>
    </dxf>
    <dxf>
      <fill>
        <patternFill>
          <bgColor rgb="FFFF00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0</xdr:rowOff>
    </xdr:from>
    <xdr:to>
      <xdr:col>31</xdr:col>
      <xdr:colOff>163832</xdr:colOff>
      <xdr:row>73</xdr:row>
      <xdr:rowOff>85184</xdr:rowOff>
    </xdr:to>
    <xdr:sp macro="" textlink="">
      <xdr:nvSpPr>
        <xdr:cNvPr id="3" name="TextBox 2">
          <a:extLst>
            <a:ext uri="{FF2B5EF4-FFF2-40B4-BE49-F238E27FC236}">
              <a16:creationId xmlns:a16="http://schemas.microsoft.com/office/drawing/2014/main" xmlns="" id="{69D84D80-4B48-49AB-B9F4-A1CC838F32F6}"/>
            </a:ext>
          </a:extLst>
        </xdr:cNvPr>
        <xdr:cNvSpPr txBox="1"/>
      </xdr:nvSpPr>
      <xdr:spPr>
        <a:xfrm>
          <a:off x="0" y="394939"/>
          <a:ext cx="16007856" cy="108066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File ini merupakan file .xlsm (excel</a:t>
          </a:r>
          <a:r>
            <a:rPr lang="en-US" sz="1100" b="1" baseline="0">
              <a:solidFill>
                <a:srgbClr val="FF0000"/>
              </a:solidFill>
            </a:rPr>
            <a:t> macro-enabled workbook)</a:t>
          </a:r>
          <a:r>
            <a:rPr lang="en-US" sz="1100" baseline="0"/>
            <a:t>. Setelah membuka file, pastikan untuk </a:t>
          </a:r>
          <a:r>
            <a:rPr lang="en-US" sz="1100" b="1" baseline="0"/>
            <a:t>mengklik "Enable Content" pada label kuning Security Warning di bagian atas (untuk Windows)</a:t>
          </a:r>
          <a:r>
            <a:rPr lang="en-US" sz="1100" baseline="0"/>
            <a:t> atau "Enable Macros" (untuk Macbook).</a:t>
          </a:r>
          <a:endParaRPr lang="en-US" sz="1100"/>
        </a:p>
        <a:p>
          <a:endParaRPr lang="en-US" sz="1100"/>
        </a:p>
        <a:p>
          <a:r>
            <a:rPr lang="en-US" sz="1100"/>
            <a:t>Masing-masing provinsi hanya dapat menyampaikan 1 file DJPB - Pembenihan </a:t>
          </a:r>
          <a:r>
            <a:rPr lang="en-US" sz="1100" baseline="0"/>
            <a:t>kepada Pusdatin/Validator Pusat KKP. Validator provinsi bertanggung jawab untuk mengkompilasi data dari seluruh kabupaten/kota-nya ke dalam 1 file DJPB - Pembenihan per provinsi ini.</a:t>
          </a:r>
          <a:endParaRPr lang="en-US" sz="1100"/>
        </a:p>
        <a:p>
          <a:endParaRPr lang="en-US" sz="1100"/>
        </a:p>
        <a:p>
          <a:r>
            <a:rPr lang="en-US" sz="1100"/>
            <a:t>Terdapat 6 worksheet dalam File </a:t>
          </a:r>
          <a:r>
            <a:rPr lang="en-US" sz="1100" b="1"/>
            <a:t>Validasi DJPB</a:t>
          </a:r>
          <a:r>
            <a:rPr lang="en-US" sz="1100" b="1" baseline="0"/>
            <a:t> - Ikan Hias </a:t>
          </a:r>
          <a:r>
            <a:rPr lang="en-US" sz="1100"/>
            <a:t>ini :</a:t>
          </a:r>
          <a:br>
            <a:rPr lang="en-US" sz="1100"/>
          </a:br>
          <a:r>
            <a:rPr lang="en-US" sz="1100"/>
            <a:t>0. Juknis	</a:t>
          </a:r>
          <a:r>
            <a:rPr lang="en-US" sz="1100" baseline="0"/>
            <a:t>       </a:t>
          </a:r>
          <a:r>
            <a:rPr lang="en-US" sz="1100"/>
            <a:t>: Tata cara / juknis penggunaan file validasi</a:t>
          </a:r>
          <a:br>
            <a:rPr lang="en-US" sz="1100"/>
          </a:br>
          <a:r>
            <a:rPr lang="en-US" sz="1100">
              <a:solidFill>
                <a:schemeClr val="dk1"/>
              </a:solidFill>
              <a:effectLst/>
              <a:latin typeface="+mn-lt"/>
              <a:ea typeface="+mn-ea"/>
              <a:cs typeface="+mn-cs"/>
            </a:rPr>
            <a:t>1.</a:t>
          </a:r>
          <a:r>
            <a:rPr lang="en-US" sz="1100" baseline="0">
              <a:solidFill>
                <a:schemeClr val="dk1"/>
              </a:solidFill>
              <a:effectLst/>
              <a:latin typeface="+mn-lt"/>
              <a:ea typeface="+mn-ea"/>
              <a:cs typeface="+mn-cs"/>
            </a:rPr>
            <a:t> Summary	       : Ringkasan </a:t>
          </a:r>
          <a:r>
            <a:rPr lang="en-US" sz="1100" i="0" baseline="0">
              <a:solidFill>
                <a:schemeClr val="dk1"/>
              </a:solidFill>
              <a:effectLst/>
              <a:latin typeface="+mn-lt"/>
              <a:ea typeface="+mn-ea"/>
              <a:cs typeface="+mn-cs"/>
            </a:rPr>
            <a:t>produksi </a:t>
          </a:r>
          <a:r>
            <a:rPr lang="en-US" sz="1100" baseline="0">
              <a:solidFill>
                <a:schemeClr val="dk1"/>
              </a:solidFill>
              <a:effectLst/>
              <a:latin typeface="+mn-lt"/>
              <a:ea typeface="+mn-ea"/>
              <a:cs typeface="+mn-cs"/>
            </a:rPr>
            <a:t>dalam bentuk </a:t>
          </a:r>
          <a:r>
            <a:rPr lang="en-US" sz="1100" i="1" baseline="0">
              <a:solidFill>
                <a:schemeClr val="dk1"/>
              </a:solidFill>
              <a:effectLst/>
              <a:latin typeface="+mn-lt"/>
              <a:ea typeface="+mn-ea"/>
              <a:cs typeface="+mn-cs"/>
            </a:rPr>
            <a:t>pivot table. </a:t>
          </a:r>
          <a:r>
            <a:rPr lang="en-US" sz="1100" i="0" baseline="0">
              <a:solidFill>
                <a:schemeClr val="dk1"/>
              </a:solidFill>
              <a:effectLst/>
              <a:latin typeface="+mn-lt"/>
              <a:ea typeface="+mn-ea"/>
              <a:cs typeface="+mn-cs"/>
            </a:rPr>
            <a:t>Terdapat 2 tabel pivot: (1) pivot RTP dan Luas Lahan yang Digunakan dari sheet "2. Isi Jumlah RTP", (2) pivot Produksi by kabupaten/kota dari sheet "3. Isi Produksi", (3) pivot Produksi by jenis ikan dari sheet "5. Hasil Prod Ikan", dan (4) pivot Nilai by jenis ikan dari sheet "7. Niali Prod Ikan". Pengguna dapat mengatur ringkasan yang dikehendaki, antara lain per kabupaten/kota maupun angka produksi sampling, validasi pusat dan daerah, validasi final, jenis ikan, dan jumlah RTP. Silakan gunakan fitur "Pivot Table Analysis". </a:t>
          </a:r>
          <a:r>
            <a:rPr lang="en-US" sz="1100" baseline="0"/>
            <a:t/>
          </a:r>
          <a:br>
            <a:rPr lang="en-US" sz="1100" baseline="0"/>
          </a:br>
          <a:r>
            <a:rPr lang="en-US" sz="1100" baseline="0"/>
            <a:t>2. Isi Jumlah RTP      : Sheet untuk mengisi jumlah RTP Pembenihan Air Tawar/Laut untuk masing-masing kabupaten/kota. </a:t>
          </a:r>
          <a:r>
            <a:rPr lang="en-US" sz="1100" b="1" baseline="0"/>
            <a:t>Isilah jumlah RTP pada sheet ini.</a:t>
          </a:r>
          <a:endParaRPr lang="en-US" sz="1100" baseline="0"/>
        </a:p>
        <a:p>
          <a:r>
            <a:rPr lang="en-US" sz="1100" baseline="0"/>
            <a:t>3. Isi Produksi   	       : Sheet untuk mengisi angka produksi per kabupaten/kota, per bulan, dan per jenis budidaya. </a:t>
          </a:r>
          <a:r>
            <a:rPr lang="en-US" sz="1100" b="1" baseline="0"/>
            <a:t>Isilah angka produksi pada sheet ini. </a:t>
          </a:r>
          <a:r>
            <a:rPr lang="en-US" sz="1100" baseline="0"/>
            <a:t/>
          </a:r>
          <a:br>
            <a:rPr lang="en-US" sz="1100" baseline="0"/>
          </a:br>
          <a:r>
            <a:rPr lang="en-US" sz="1100" baseline="0"/>
            <a:t>4. Isi Produksi Ikan   : Sheet untuk mengisi produksi per jenis ikan per jenis budidaya pembenihan untuk masing-masing kabupaten/kota. </a:t>
          </a:r>
          <a:r>
            <a:rPr lang="en-US" sz="1100" b="1" baseline="0"/>
            <a:t>Isilah angka produksi per jenis ikan pada sheet ini.</a:t>
          </a:r>
          <a:r>
            <a:rPr lang="en-US" sz="1100" baseline="0"/>
            <a:t/>
          </a:r>
          <a:br>
            <a:rPr lang="en-US" sz="1100" baseline="0"/>
          </a:br>
          <a:r>
            <a:rPr lang="en-US" sz="1100" b="0" baseline="0"/>
            <a:t>5. Hasil Prod Ikan     : Sheet untuk melihat rangkuman per jenis ikan per kabupaten/kota dalam tampilan yang lebih sederhana. </a:t>
          </a:r>
          <a:r>
            <a:rPr lang="en-US" sz="1100" b="1" baseline="0"/>
            <a:t>Anda tidak diperbolehkan melakukan perubahan pada sheet ini</a:t>
          </a:r>
          <a:r>
            <a:rPr lang="en-US" sz="1100" b="0" baseline="0"/>
            <a:t> karena sheet ini hanya untuk melihat rangkuman.</a:t>
          </a:r>
        </a:p>
        <a:p>
          <a:r>
            <a:rPr lang="en-US" sz="1100" baseline="0">
              <a:solidFill>
                <a:schemeClr val="dk1"/>
              </a:solidFill>
              <a:effectLst/>
              <a:latin typeface="+mn-lt"/>
              <a:ea typeface="+mn-ea"/>
              <a:cs typeface="+mn-cs"/>
            </a:rPr>
            <a:t>6. Isi Harga Ikan	       : Sheet untuk mengisi harga ikan per kabupaten/kota. </a:t>
          </a:r>
          <a:r>
            <a:rPr lang="en-US" sz="1100" b="1" baseline="0">
              <a:solidFill>
                <a:schemeClr val="dk1"/>
              </a:solidFill>
              <a:effectLst/>
              <a:latin typeface="+mn-lt"/>
              <a:ea typeface="+mn-ea"/>
              <a:cs typeface="+mn-cs"/>
            </a:rPr>
            <a:t>Isilah harga pada sheet ini.</a:t>
          </a:r>
          <a:endParaRPr lang="en-ID">
            <a:effectLst/>
          </a:endParaRPr>
        </a:p>
        <a:p>
          <a:r>
            <a:rPr lang="en-US" sz="1100" b="0" baseline="0">
              <a:solidFill>
                <a:schemeClr val="dk1"/>
              </a:solidFill>
              <a:effectLst/>
              <a:latin typeface="+mn-lt"/>
              <a:ea typeface="+mn-ea"/>
              <a:cs typeface="+mn-cs"/>
            </a:rPr>
            <a:t>7. Nilai Prod Ikan     : Sheet untuk melihat rangkuman nilai per jenis ikan per kabupaten/kota. </a:t>
          </a:r>
          <a:r>
            <a:rPr lang="en-US" sz="1100" b="1" baseline="0">
              <a:solidFill>
                <a:schemeClr val="dk1"/>
              </a:solidFill>
              <a:effectLst/>
              <a:latin typeface="+mn-lt"/>
              <a:ea typeface="+mn-ea"/>
              <a:cs typeface="+mn-cs"/>
            </a:rPr>
            <a:t>Anda tidak diperbolehkan melakukan perubahan pada sheet ini </a:t>
          </a:r>
          <a:r>
            <a:rPr lang="en-US" sz="1100" b="0" baseline="0">
              <a:solidFill>
                <a:schemeClr val="dk1"/>
              </a:solidFill>
              <a:effectLst/>
              <a:latin typeface="+mn-lt"/>
              <a:ea typeface="+mn-ea"/>
              <a:cs typeface="+mn-cs"/>
            </a:rPr>
            <a:t>karena sheet ini hanya untuk melihat rangkuman.</a:t>
          </a:r>
          <a:endParaRPr lang="en-ID">
            <a:effectLst/>
          </a:endParaRPr>
        </a:p>
        <a:p>
          <a:r>
            <a:rPr lang="en-US" sz="1100" baseline="0"/>
            <a:t/>
          </a:r>
          <a:br>
            <a:rPr lang="en-US" sz="1100" baseline="0"/>
          </a:br>
          <a:r>
            <a:rPr lang="en-US" sz="1100" baseline="0"/>
            <a:t>		</a:t>
          </a:r>
        </a:p>
        <a:p>
          <a:r>
            <a:rPr lang="en-US" sz="1100" baseline="0"/>
            <a:t>File Validasi ini dibuat per provinsi dan per kabupaten/kota.  Angka Produksi yg tertera adalah dalam satuan per ekor (ekor)</a:t>
          </a:r>
        </a:p>
        <a:p>
          <a:endParaRPr lang="en-US" sz="1100" baseline="0"/>
        </a:p>
        <a:p>
          <a:r>
            <a:rPr lang="en-US" sz="1100" baseline="0"/>
            <a:t>Pada prinsipnya ada 3 hal utama yang dilakukan:</a:t>
          </a:r>
        </a:p>
        <a:p>
          <a:r>
            <a:rPr lang="en-US" sz="1100" baseline="0"/>
            <a:t>- finalisasi </a:t>
          </a:r>
          <a:r>
            <a:rPr lang="en-US" sz="1100" b="1" baseline="0"/>
            <a:t>jumlah RTP </a:t>
          </a:r>
          <a:r>
            <a:rPr lang="en-US" sz="1100" baseline="0"/>
            <a:t>di Sheet "2. Isi Jumlah RTP"</a:t>
          </a:r>
        </a:p>
        <a:p>
          <a:r>
            <a:rPr lang="en-US" sz="1100" baseline="0"/>
            <a:t>- finalisasi </a:t>
          </a:r>
          <a:r>
            <a:rPr lang="en-US" sz="1100" b="1" baseline="0"/>
            <a:t>angka produksi </a:t>
          </a:r>
          <a:r>
            <a:rPr lang="en-US" sz="1100" baseline="0"/>
            <a:t>(satuan (ekor)) di Sheet "3. Isi Produksi"</a:t>
          </a:r>
        </a:p>
        <a:p>
          <a:r>
            <a:rPr lang="en-US" sz="1100" baseline="0"/>
            <a:t>- finalisasi </a:t>
          </a:r>
          <a:r>
            <a:rPr lang="en-US" sz="1100" b="1" baseline="0"/>
            <a:t>produksi per komposisi ikan </a:t>
          </a:r>
          <a:r>
            <a:rPr lang="en-US" sz="1100" b="0" baseline="0"/>
            <a:t>(</a:t>
          </a:r>
          <a:r>
            <a:rPr lang="en-US" sz="1100" baseline="0"/>
            <a:t>(ekor) untuk masing-masing kabupaten/kota) di Sheet "4. Isi Produksi Ikan"</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 finalisasi </a:t>
          </a:r>
          <a:r>
            <a:rPr lang="en-US" sz="1100" b="1" baseline="0">
              <a:solidFill>
                <a:schemeClr val="dk1"/>
              </a:solidFill>
              <a:effectLst/>
              <a:latin typeface="+mn-lt"/>
              <a:ea typeface="+mn-ea"/>
              <a:cs typeface="+mn-cs"/>
            </a:rPr>
            <a:t>harga per jenis ikan </a:t>
          </a:r>
          <a:r>
            <a:rPr lang="en-US" sz="1100" b="0" baseline="0">
              <a:solidFill>
                <a:schemeClr val="dk1"/>
              </a:solidFill>
              <a:effectLst/>
              <a:latin typeface="+mn-lt"/>
              <a:ea typeface="+mn-ea"/>
              <a:cs typeface="+mn-cs"/>
            </a:rPr>
            <a:t>di Sheet "6. Isi Harga Ikan"</a:t>
          </a:r>
          <a:endParaRPr lang="en-US" sz="1100" baseline="0"/>
        </a:p>
        <a:p>
          <a:r>
            <a:rPr lang="en-US" sz="1100" baseline="0"/>
            <a:t/>
          </a:r>
          <a:br>
            <a:rPr lang="en-US" sz="1100" baseline="0"/>
          </a:br>
          <a:r>
            <a:rPr lang="en-US" sz="1100" baseline="0"/>
            <a:t>Adapun kegiatan yg perlu dilakukan adalah:</a:t>
          </a:r>
        </a:p>
        <a:p>
          <a:r>
            <a:rPr lang="en-US" sz="1100" baseline="0"/>
            <a:t/>
          </a:r>
          <a:br>
            <a:rPr lang="en-US" sz="1100" baseline="0"/>
          </a:br>
          <a:r>
            <a:rPr lang="en-US" sz="1100" baseline="0"/>
            <a:t>a. Periksa Worksheet "1. Summary".  Terdapat 2 tabel pivot: pivot RTP dan pivot produksi.</a:t>
          </a:r>
        </a:p>
        <a:p>
          <a:r>
            <a:rPr lang="en-US" sz="1100" baseline="0"/>
            <a:t>- Pada Tabel Pivot RTP: tampilan default pada pivot table menampilkan </a:t>
          </a:r>
          <a:r>
            <a:rPr lang="en-US" sz="1100" b="1" baseline="0"/>
            <a:t>jumlah RTP </a:t>
          </a:r>
          <a:r>
            <a:rPr lang="en-US" sz="1100" b="0" baseline="0"/>
            <a:t>untuk masing-masing pembenihan air tawar dan air laut</a:t>
          </a:r>
          <a:r>
            <a:rPr lang="en-US" sz="1100" baseline="0"/>
            <a:t>. Sumber pivot table ini adalah Sheet "2. Isi Jumlah RTP".</a:t>
          </a:r>
        </a:p>
        <a:p>
          <a:r>
            <a:rPr lang="en-US" sz="1100" baseline="0"/>
            <a:t>- Pada Tabel Pivot Produksi: tampilan default pada pivot table menampilkan </a:t>
          </a:r>
          <a:r>
            <a:rPr lang="en-US" sz="1100" b="0" baseline="0"/>
            <a:t>beberapa versi </a:t>
          </a:r>
          <a:r>
            <a:rPr lang="en-US" sz="1100" b="0" baseline="0">
              <a:solidFill>
                <a:schemeClr val="dk1"/>
              </a:solidFill>
              <a:effectLst/>
              <a:latin typeface="+mn-lt"/>
              <a:ea typeface="+mn-ea"/>
              <a:cs typeface="+mn-cs"/>
            </a:rPr>
            <a:t>angka produksi (versi sampling, validasi pusat, validasi daerah, dan final)</a:t>
          </a:r>
          <a:r>
            <a:rPr lang="en-US" sz="1100" baseline="0">
              <a:solidFill>
                <a:schemeClr val="dk1"/>
              </a:solidFill>
              <a:effectLst/>
              <a:latin typeface="+mn-lt"/>
              <a:ea typeface="+mn-ea"/>
              <a:cs typeface="+mn-cs"/>
            </a:rPr>
            <a:t>.  Sumber pivot table ini adalah Sheet "3. Isi Produksi". </a:t>
          </a:r>
        </a:p>
        <a:p>
          <a:pPr eaLnBrk="1" fontAlgn="auto" latinLnBrk="0" hangingPunct="1"/>
          <a:r>
            <a:rPr lang="en-US" sz="1100" baseline="0">
              <a:solidFill>
                <a:schemeClr val="dk1"/>
              </a:solidFill>
              <a:effectLst/>
              <a:latin typeface="+mn-lt"/>
              <a:ea typeface="+mn-ea"/>
              <a:cs typeface="+mn-cs"/>
            </a:rPr>
            <a:t>- Pada Tabel Pivot Produksi by Jenis Ikan: tampilan default pada pivot table menampilkan angka produksi by jenis ikan (dalam kg). Sumber pivot table ini adalah Sheet "5. Hasil Prod Ikan".</a:t>
          </a:r>
          <a:endParaRPr lang="en-ID">
            <a:effectLst/>
          </a:endParaRPr>
        </a:p>
        <a:p>
          <a:pPr eaLnBrk="1" fontAlgn="auto" latinLnBrk="0" hangingPunct="1"/>
          <a:r>
            <a:rPr lang="en-US" sz="1100" baseline="0">
              <a:solidFill>
                <a:schemeClr val="dk1"/>
              </a:solidFill>
              <a:effectLst/>
              <a:latin typeface="+mn-lt"/>
              <a:ea typeface="+mn-ea"/>
              <a:cs typeface="+mn-cs"/>
            </a:rPr>
            <a:t>- Pada Tabel Pivot Nilai Produksi by Jenis Ikan: tampilan default pada pivot table menampilkan nilai produksi by jenis ikan (dalam rupiah). Sumber pivot table ini adalah Sheet "7. Nilai Prod Ikan".</a:t>
          </a:r>
        </a:p>
        <a:p>
          <a:r>
            <a:rPr lang="en-US" sz="1100" baseline="0">
              <a:solidFill>
                <a:schemeClr val="dk1"/>
              </a:solidFill>
              <a:effectLst/>
              <a:latin typeface="+mn-lt"/>
              <a:ea typeface="+mn-ea"/>
              <a:cs typeface="+mn-cs"/>
            </a:rPr>
            <a:t>Anda dapat mengubah tampilan pivot table dengan masuk ke fitur "Field List" pada "Pivot Table Analyze". Simak angka yg tertera.  JIka ada yg memerlukan analisa lebih lanjut atau perubahan, silahkan ke Worksheet "2. Isi Jumlah RTP", "3. Isi Produksi", "4. Isi Produksi Ikan" dam/atau "6. Isi Harga Ikan".  </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 Worksheet "2. Isi Jumlah RTP"  berisi jumlah RTP untuk masing-masing jenis pembenihan air tawar dan pembenihan air laut. </a:t>
          </a:r>
          <a:r>
            <a:rPr lang="en-US" sz="1100" b="1" baseline="0">
              <a:solidFill>
                <a:srgbClr val="FF0000"/>
              </a:solidFill>
              <a:effectLst/>
              <a:latin typeface="+mn-lt"/>
              <a:ea typeface="+mn-ea"/>
              <a:cs typeface="+mn-cs"/>
            </a:rPr>
            <a:t>Untuk mengubah jumlah RTP per jenis pembenihan dapat dilakukan di Worksheet "2. Isi Jumlah RTP" ini. </a:t>
          </a:r>
          <a:endParaRPr lang="en-US" sz="1100" b="1" baseline="0">
            <a:solidFill>
              <a:schemeClr val="tx1"/>
            </a:solidFill>
            <a:effectLst/>
            <a:latin typeface="+mn-lt"/>
            <a:ea typeface="+mn-ea"/>
            <a:cs typeface="+mn-cs"/>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c. Worksheet "3. Isi Produksi" berisi parameter perhitungan produksi kabupaten/kota, jenis budidaya dan bulan</a:t>
          </a:r>
          <a:r>
            <a:rPr lang="en-US" sz="1100" b="1" baseline="0">
              <a:solidFill>
                <a:schemeClr val="dk1"/>
              </a:solidFill>
              <a:effectLst/>
              <a:latin typeface="+mn-lt"/>
              <a:ea typeface="+mn-ea"/>
              <a:cs typeface="+mn-cs"/>
            </a:rPr>
            <a:t>.  </a:t>
          </a:r>
          <a:r>
            <a:rPr lang="en-US" sz="1100" b="1" baseline="0">
              <a:solidFill>
                <a:srgbClr val="FF0000"/>
              </a:solidFill>
              <a:effectLst/>
              <a:latin typeface="+mn-lt"/>
              <a:ea typeface="+mn-ea"/>
              <a:cs typeface="+mn-cs"/>
            </a:rPr>
            <a:t>Untuk mengubah angka Produksi dapat dilakukan di Worksheet "3. Isi Produksi" ini</a:t>
          </a:r>
        </a:p>
        <a:p>
          <a:r>
            <a:rPr lang="en-US" sz="1100" b="1" baseline="0">
              <a:solidFill>
                <a:schemeClr val="tx1"/>
              </a:solidFill>
              <a:effectLst/>
              <a:latin typeface="+mn-lt"/>
              <a:ea typeface="+mn-ea"/>
              <a:cs typeface="+mn-cs"/>
            </a:rPr>
            <a:t>- </a:t>
          </a:r>
          <a:r>
            <a:rPr lang="en-US" sz="1100" b="0" baseline="0">
              <a:solidFill>
                <a:schemeClr val="tx1"/>
              </a:solidFill>
              <a:effectLst/>
              <a:latin typeface="+mn-lt"/>
              <a:ea typeface="+mn-ea"/>
              <a:cs typeface="+mn-cs"/>
            </a:rPr>
            <a:t>Bagi Validator Pusat yang hendak mengubah/mengisi angka produksi (N, Pn) dapat mengubah di kolom O dan P</a:t>
          </a: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tx1"/>
              </a:solidFill>
              <a:effectLst/>
              <a:latin typeface="+mn-lt"/>
              <a:ea typeface="+mn-ea"/>
              <a:cs typeface="+mn-cs"/>
            </a:rPr>
            <a:t>- Bagi Validator Daerah yang hendak mengubah/mengisi angka produksi (N, Pn) dapat mengubah di kolom R dan S</a:t>
          </a: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tx1"/>
              </a:solidFill>
              <a:effectLst/>
              <a:latin typeface="+mn-lt"/>
              <a:ea typeface="+mn-ea"/>
              <a:cs typeface="+mn-cs"/>
            </a:rPr>
            <a:t>- Bagi Validator Pusat dan Daerah yang hendak mengubah/mengisi angka produksi final (N, Pn) dapat mengubah di kolom U dan V (tampilan masih di-hide pada tahap ini. Silakan kontak panitia untuk membuka tampilan)</a:t>
          </a:r>
        </a:p>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tx1"/>
              </a:solidFill>
              <a:effectLst/>
              <a:latin typeface="+mn-lt"/>
              <a:ea typeface="+mn-ea"/>
              <a:cs typeface="+mn-cs"/>
            </a:rPr>
            <a:t>&gt;&gt; </a:t>
          </a:r>
          <a:r>
            <a:rPr lang="en-US" sz="1100" b="1" baseline="0">
              <a:solidFill>
                <a:srgbClr val="FF0000"/>
              </a:solidFill>
              <a:effectLst/>
              <a:latin typeface="+mn-lt"/>
              <a:ea typeface="+mn-ea"/>
              <a:cs typeface="+mn-cs"/>
            </a:rPr>
            <a:t>Sangat dianjurkan untuk mengubah angka N dan Pn</a:t>
          </a:r>
          <a:r>
            <a:rPr lang="en-US" sz="1100" b="1" baseline="0">
              <a:solidFill>
                <a:schemeClr val="tx1"/>
              </a:solidFill>
              <a:effectLst/>
              <a:latin typeface="+mn-lt"/>
              <a:ea typeface="+mn-ea"/>
              <a:cs typeface="+mn-cs"/>
            </a:rPr>
            <a:t>, </a:t>
          </a:r>
          <a:r>
            <a:rPr lang="en-US" sz="1100" b="0" baseline="0">
              <a:solidFill>
                <a:schemeClr val="tx1"/>
              </a:solidFill>
              <a:effectLst/>
              <a:latin typeface="+mn-lt"/>
              <a:ea typeface="+mn-ea"/>
              <a:cs typeface="+mn-cs"/>
            </a:rPr>
            <a:t>tidak langsung mengubah angka agregat produksi. Apabila mengubah angka N dan Pn, pastikan untuk mengalikan N dan Pn untuk mendapatkan angka produksi final di kolom Q, T dan W. </a:t>
          </a: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tx1"/>
              </a:solidFill>
              <a:effectLst/>
              <a:latin typeface="+mn-lt"/>
              <a:ea typeface="+mn-ea"/>
              <a:cs typeface="+mn-cs"/>
            </a:rPr>
            <a:t>** [N = Populasi = Luas wadah (m2); Pn = produktivitas = produksi benih (ekor) per m2 wadah panen; Agregat = hasil perkalian populasi dengan produktivitas (N x Pn), dan merupakan nilai agregat produksi]</a:t>
          </a:r>
        </a:p>
        <a:p>
          <a:r>
            <a:rPr lang="en-US" sz="1100" b="0" baseline="0">
              <a:solidFill>
                <a:schemeClr val="dk1"/>
              </a:solidFill>
              <a:effectLst/>
              <a:latin typeface="+mn-lt"/>
              <a:ea typeface="+mn-ea"/>
              <a:cs typeface="+mn-cs"/>
            </a:rPr>
            <a:t/>
          </a:r>
          <a:br>
            <a:rPr lang="en-US" sz="1100" b="0" baseline="0">
              <a:solidFill>
                <a:schemeClr val="dk1"/>
              </a:solidFill>
              <a:effectLst/>
              <a:latin typeface="+mn-lt"/>
              <a:ea typeface="+mn-ea"/>
              <a:cs typeface="+mn-cs"/>
            </a:rPr>
          </a:br>
          <a:r>
            <a:rPr lang="en-US" sz="1100" b="0" baseline="0">
              <a:solidFill>
                <a:schemeClr val="dk1"/>
              </a:solidFill>
              <a:effectLst/>
              <a:latin typeface="+mn-lt"/>
              <a:ea typeface="+mn-ea"/>
              <a:cs typeface="+mn-cs"/>
            </a:rPr>
            <a:t>d. Setelah mengisi angka produksi di tahap c, isilah angka produksi per jenis ikan di Sheet "4. Isi Produksi Ikan". Isilah untuk masing-masing jenis pembenihan per kabupaten/kota dalam satuan</a:t>
          </a:r>
          <a:r>
            <a:rPr lang="en-US" sz="1100" b="1" baseline="0">
              <a:solidFill>
                <a:schemeClr val="dk1"/>
              </a:solidFill>
              <a:effectLst/>
              <a:latin typeface="+mn-lt"/>
              <a:ea typeface="+mn-ea"/>
              <a:cs typeface="+mn-cs"/>
            </a:rPr>
            <a:t> ekor. </a:t>
          </a:r>
          <a:r>
            <a:rPr lang="en-US" sz="1100" b="0" baseline="0">
              <a:solidFill>
                <a:schemeClr val="tx1"/>
              </a:solidFill>
              <a:effectLst/>
              <a:latin typeface="+mn-lt"/>
              <a:ea typeface="+mn-ea"/>
              <a:cs typeface="+mn-cs"/>
            </a:rPr>
            <a:t>Untuk mempermudah, Anda juga dapat memanfaatkan fitur view group/ungroup yang sudah disusun horizontal (per kabupaten/kota). </a:t>
          </a:r>
          <a:r>
            <a:rPr lang="en-US" sz="1100" b="0" baseline="0">
              <a:solidFill>
                <a:schemeClr val="dk1"/>
              </a:solidFill>
              <a:effectLst/>
              <a:latin typeface="+mn-lt"/>
              <a:ea typeface="+mn-ea"/>
              <a:cs typeface="+mn-cs"/>
            </a:rPr>
            <a:t>Anda juga dapat melakukan filter "ada/tidak" untuk melihat jenis ikan yang tersedia di provinsi tersebut secara keseluruhan (grand total) di kolom terakhir di sheet "4. Isi Produksi Ikan". </a:t>
          </a:r>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e. Setelah melakukan perubahan di worksheet "4. Isi Produksi ikan", </a:t>
          </a:r>
          <a:r>
            <a:rPr lang="en-US" sz="1100" b="1" baseline="0">
              <a:solidFill>
                <a:srgbClr val="FF0000"/>
              </a:solidFill>
              <a:effectLst/>
              <a:latin typeface="+mn-lt"/>
              <a:ea typeface="+mn-ea"/>
              <a:cs typeface="+mn-cs"/>
            </a:rPr>
            <a:t>pastikan total berdasarkan produksi (baik Grand Total maupun per Kab/kota) sama dengan grand total angka produksi berdasarkan komposisi ikan.  </a:t>
          </a:r>
          <a:r>
            <a:rPr lang="en-US" sz="1100" b="0" baseline="0">
              <a:solidFill>
                <a:schemeClr val="tx1"/>
              </a:solidFill>
              <a:effectLst/>
              <a:latin typeface="+mn-lt"/>
              <a:ea typeface="+mn-ea"/>
              <a:cs typeface="+mn-cs"/>
            </a:rPr>
            <a:t>Pastikan total by jenis budaya dan total by jenis ikan sudah sama.</a:t>
          </a:r>
          <a:endParaRPr lang="en-US" sz="1100" b="1" baseline="0">
            <a:solidFill>
              <a:schemeClr val="tx1"/>
            </a:solidFill>
            <a:effectLst/>
            <a:latin typeface="+mn-lt"/>
            <a:ea typeface="+mn-ea"/>
            <a:cs typeface="+mn-cs"/>
          </a:endParaRPr>
        </a:p>
        <a:p>
          <a:endParaRPr lang="en-US" sz="1100" b="0" baseline="0">
            <a:solidFill>
              <a:srgbClr val="FF0000"/>
            </a:solidFill>
            <a:effectLst/>
            <a:latin typeface="+mn-lt"/>
            <a:ea typeface="+mn-ea"/>
            <a:cs typeface="+mn-cs"/>
          </a:endParaRPr>
        </a:p>
        <a:p>
          <a:r>
            <a:rPr lang="en-US" sz="1100" b="0" baseline="0">
              <a:solidFill>
                <a:schemeClr val="tx1"/>
              </a:solidFill>
              <a:effectLst/>
              <a:latin typeface="+mn-lt"/>
              <a:ea typeface="+mn-ea"/>
              <a:cs typeface="+mn-cs"/>
            </a:rPr>
            <a:t>f. Selain dari Sheet "4. Isi Produksi Ikan", Anda juga dapat melihat/mengecek/membandingkan hasil rangkuman angka produksi dan angka produksi berdasarkan komposisi per jenis ikan dan kabupaten/kota di Sheet "5. Hasil Prod Ikan". </a:t>
          </a:r>
        </a:p>
        <a:p>
          <a:endParaRPr lang="en-US" sz="1100" b="0" baseline="0">
            <a:solidFill>
              <a:schemeClr val="dk1"/>
            </a:solidFill>
            <a:effectLst/>
            <a:latin typeface="+mn-lt"/>
            <a:ea typeface="+mn-ea"/>
            <a:cs typeface="+mn-cs"/>
          </a:endParaRPr>
        </a:p>
        <a:p>
          <a:r>
            <a:rPr lang="en-US" sz="1100" b="0" baseline="0">
              <a:solidFill>
                <a:schemeClr val="dk1"/>
              </a:solidFill>
              <a:effectLst/>
              <a:latin typeface="+mn-lt"/>
              <a:ea typeface="+mn-ea"/>
              <a:cs typeface="+mn-cs"/>
            </a:rPr>
            <a:t>g. Selanjutnya, isilah harga untuk masing-masing jenis ikan di kabupaten/kota masing-masing pada Sheet "6. Isi Harga Ikan"</a:t>
          </a:r>
          <a:endParaRPr lang="en-ID">
            <a:effectLst/>
          </a:endParaRPr>
        </a:p>
        <a:p>
          <a:endParaRPr lang="en-US" sz="1100" b="0" baseline="0">
            <a:solidFill>
              <a:schemeClr val="dk1"/>
            </a:solidFill>
            <a:effectLst/>
            <a:latin typeface="+mn-lt"/>
            <a:ea typeface="+mn-ea"/>
            <a:cs typeface="+mn-cs"/>
          </a:endParaRPr>
        </a:p>
        <a:p>
          <a:r>
            <a:rPr lang="en-US" sz="1100" b="0" baseline="0">
              <a:solidFill>
                <a:schemeClr val="dk1"/>
              </a:solidFill>
              <a:effectLst/>
              <a:latin typeface="+mn-lt"/>
              <a:ea typeface="+mn-ea"/>
              <a:cs typeface="+mn-cs"/>
            </a:rPr>
            <a:t>h. Perhatikan kelogisan nilai produksi ikan pada Sheet "7. Nilai Prod Ikan" yang merupakan perkalian antara harga dengan produksi untuk masing-masing jenis ikan dan masing-masing kab/kota</a:t>
          </a:r>
          <a:endParaRPr lang="en-ID">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 Simak</a:t>
          </a:r>
          <a:r>
            <a:rPr lang="en-US" sz="1100" baseline="0">
              <a:solidFill>
                <a:schemeClr val="dk1"/>
              </a:solidFill>
              <a:effectLst/>
              <a:latin typeface="+mn-lt"/>
              <a:ea typeface="+mn-ea"/>
              <a:cs typeface="+mn-cs"/>
            </a:rPr>
            <a:t> kembali angka-angka yang telah diubah dan difinalkan.  Apabila sudah sepakat dengan hasil akhir di seluruh sheet, simpan file. Perlu diperhatikan bahwa nama/judul file tidak boleh diubah dan pastikan file </a:t>
          </a:r>
          <a:r>
            <a:rPr lang="en-US" sz="1100" b="1" baseline="0">
              <a:solidFill>
                <a:schemeClr val="dk1"/>
              </a:solidFill>
              <a:effectLst/>
              <a:latin typeface="+mn-lt"/>
              <a:ea typeface="+mn-ea"/>
              <a:cs typeface="+mn-cs"/>
            </a:rPr>
            <a:t>tetap disave dalam bentuk .xlsm (excel macro-enabled workbook).</a:t>
          </a:r>
        </a:p>
        <a:p>
          <a:endParaRPr lang="en-US" sz="1100" b="1" baseline="0">
            <a:solidFill>
              <a:schemeClr val="dk1"/>
            </a:solidFill>
            <a:effectLst/>
            <a:latin typeface="+mn-lt"/>
            <a:ea typeface="+mn-ea"/>
            <a:cs typeface="+mn-cs"/>
          </a:endParaRPr>
        </a:p>
        <a:p>
          <a:r>
            <a:rPr lang="en-US" sz="1100" baseline="0"/>
            <a:t/>
          </a:r>
          <a:br>
            <a:rPr lang="en-US" sz="1100" baseline="0"/>
          </a:br>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hewlettpackard" refreshedDate="43481.617564930559" createdVersion="6" refreshedVersion="5" minRefreshableVersion="3" recordCount="79">
  <cacheSource type="worksheet">
    <worksheetSource ref="A8:Q87" sheet="5. Hasil Prod Ikan"/>
  </cacheSource>
  <cacheFields count="17">
    <cacheField name="Semester" numFmtId="0">
      <sharedItems count="1">
        <s v="Semester 2"/>
      </sharedItems>
    </cacheField>
    <cacheField name="Jenis Ikan" numFmtId="0">
      <sharedItems count="79">
        <s v="Banggai Cardinalfish"/>
        <s v="Blue Devil/Betok Ambon"/>
        <s v="Kuda Laut"/>
        <s v="Mandarin Fish"/>
        <s v="Nemo"/>
        <s v="Ikan_01_Laut"/>
        <s v="Ikan_02_Laut"/>
        <s v="Ikan_03_Laut"/>
        <s v="Akara"/>
        <s v="Arwana"/>
        <s v="Arwana Silver"/>
        <s v="Arwana Super Red"/>
        <s v="Barbir"/>
        <s v="Barbus"/>
        <s v="Baster"/>
        <s v="Blue Cerry"/>
        <s v="Blue Eye"/>
        <s v="Bluncat, Mollon "/>
        <s v="Botia"/>
        <s v="Bueness Aries"/>
        <s v="Ciclid"/>
        <s v="Corydoras"/>
        <s v="Cteno Phoma"/>
        <s v="Cupang"/>
        <s v="Diskus"/>
        <s v="Frontosa"/>
        <s v="Greend Tiger"/>
        <s v="Guppy; Gupi; Gapi"/>
        <s v="Harlequin"/>
        <s v="Head Standar"/>
        <s v="Ikan Hantu/Black Ghost"/>
        <s v="Ikan Pedang, Ikan Pedang, Tumbuk, Thoek Kojek"/>
        <s v="Kaisar"/>
        <s v="Kar Tetra"/>
        <s v="Koi"/>
        <s v="Koki"/>
        <s v="Komet"/>
        <s v="Kongo Neon"/>
        <s v="Kongo Salem"/>
        <s v="Lalia"/>
        <s v="Lemon"/>
        <s v="Leuleupi"/>
        <s v="Lobster Hias"/>
        <s v="Louhan"/>
        <s v="Manvis"/>
        <s v="Marble"/>
        <s v="Micky Mouse"/>
        <s v="Moli"/>
        <s v="Mulut Api"/>
        <s v="Neon Api"/>
        <s v="Neon Berlian"/>
        <s v="Neon Tetra"/>
        <s v="Niasa"/>
        <s v="Oskar"/>
        <s v="Palmari"/>
        <s v="Palmas"/>
        <s v="Pancak"/>
        <s v="Paradis"/>
        <s v="Phantom Merah"/>
        <s v="Plati"/>
        <s v="Plati Coral"/>
        <s v="Plati Pedang"/>
        <s v="Rainbow"/>
        <s v="Red Devil"/>
        <s v="Red Nose"/>
        <s v="Rocket"/>
        <s v="Sapu Hias"/>
        <s v="Sepat Siam"/>
        <s v="Silver Dolar"/>
        <s v="Silver Slayer"/>
        <s v="Sodahar"/>
        <s v="Sumatra Albino"/>
        <s v="Tetra"/>
        <s v="Tiger Sumatra"/>
        <s v="Vilivera"/>
        <s v="Zebra"/>
        <s v="Ikan_04_Tawar"/>
        <s v="Ikan_05_Tawar"/>
        <s v="Ikan_06_Tawar"/>
      </sharedItems>
    </cacheField>
    <cacheField name="KAB. BARITO SELATAN Total" numFmtId="41">
      <sharedItems containsSemiMixedTypes="0" containsString="0" containsNumber="1" containsInteger="1" minValue="0" maxValue="0"/>
    </cacheField>
    <cacheField name="KAB. BARITO TIMUR Total" numFmtId="41">
      <sharedItems containsSemiMixedTypes="0" containsString="0" containsNumber="1" containsInteger="1" minValue="0" maxValue="0"/>
    </cacheField>
    <cacheField name="KAB. BARITO UTARA Total" numFmtId="41">
      <sharedItems containsSemiMixedTypes="0" containsString="0" containsNumber="1" containsInteger="1" minValue="0" maxValue="0"/>
    </cacheField>
    <cacheField name="KAB. GUNUNG MAS Total" numFmtId="41">
      <sharedItems containsSemiMixedTypes="0" containsString="0" containsNumber="1" containsInteger="1" minValue="0" maxValue="0"/>
    </cacheField>
    <cacheField name="KAB. KAPUAS Total" numFmtId="41">
      <sharedItems containsSemiMixedTypes="0" containsString="0" containsNumber="1" containsInteger="1" minValue="0" maxValue="0"/>
    </cacheField>
    <cacheField name="KAB. KATINGAN Total" numFmtId="41">
      <sharedItems containsSemiMixedTypes="0" containsString="0" containsNumber="1" containsInteger="1" minValue="0" maxValue="0"/>
    </cacheField>
    <cacheField name="KAB. KOTAWARINGIN BARAT Total" numFmtId="41">
      <sharedItems containsSemiMixedTypes="0" containsString="0" containsNumber="1" containsInteger="1" minValue="0" maxValue="0"/>
    </cacheField>
    <cacheField name="KAB. KOTAWARINGIN TIMUR Total" numFmtId="41">
      <sharedItems containsSemiMixedTypes="0" containsString="0" containsNumber="1" containsInteger="1" minValue="0" maxValue="0"/>
    </cacheField>
    <cacheField name="KAB. LAMANDAU Total" numFmtId="41">
      <sharedItems containsSemiMixedTypes="0" containsString="0" containsNumber="1" containsInteger="1" minValue="0" maxValue="0"/>
    </cacheField>
    <cacheField name="KAB. MURUNG RAYA Total" numFmtId="41">
      <sharedItems containsSemiMixedTypes="0" containsString="0" containsNumber="1" containsInteger="1" minValue="0" maxValue="0"/>
    </cacheField>
    <cacheField name="KAB. PULANG PISAU Total" numFmtId="41">
      <sharedItems containsSemiMixedTypes="0" containsString="0" containsNumber="1" containsInteger="1" minValue="0" maxValue="0"/>
    </cacheField>
    <cacheField name="KAB. SERUYAN Total" numFmtId="41">
      <sharedItems containsSemiMixedTypes="0" containsString="0" containsNumber="1" containsInteger="1" minValue="0" maxValue="0"/>
    </cacheField>
    <cacheField name="KAB. SUKAMARA Total" numFmtId="41">
      <sharedItems containsSemiMixedTypes="0" containsString="0" containsNumber="1" containsInteger="1" minValue="0" maxValue="0"/>
    </cacheField>
    <cacheField name="KOTA PALANGKARAYA Total" numFmtId="41">
      <sharedItems containsSemiMixedTypes="0" containsString="0" containsNumber="1" containsInteger="1" minValue="0" maxValue="0"/>
    </cacheField>
    <cacheField name="Grand Total" numFmtId="41">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ewlettpackard" refreshedDate="43481.617565393521" createdVersion="6" refreshedVersion="5" minRefreshableVersion="3" recordCount="79">
  <cacheSource type="worksheet">
    <worksheetSource ref="A8:Q87" sheet="7. Nilai Prod Ikan"/>
  </cacheSource>
  <cacheFields count="17">
    <cacheField name="Semester" numFmtId="0">
      <sharedItems count="1">
        <s v="Semester 2"/>
      </sharedItems>
    </cacheField>
    <cacheField name="Jenis Ikan" numFmtId="0">
      <sharedItems count="79">
        <s v="Banggai Cardinalfish"/>
        <s v="Blue Devil/Betok Ambon"/>
        <s v="Kuda Laut"/>
        <s v="Mandarin Fish"/>
        <s v="Nemo"/>
        <s v="Ikan_01_Laut"/>
        <s v="Ikan_02_Laut"/>
        <s v="Ikan_03_Laut"/>
        <s v="Akara"/>
        <s v="Arwana"/>
        <s v="Arwana Silver"/>
        <s v="Arwana Super Red"/>
        <s v="Barbir"/>
        <s v="Barbus"/>
        <s v="Baster"/>
        <s v="Blue Cerry"/>
        <s v="Blue Eye"/>
        <s v="Bluncat, Mollon "/>
        <s v="Botia"/>
        <s v="Bueness Aries"/>
        <s v="Ciclid"/>
        <s v="Corydoras"/>
        <s v="Cteno Phoma"/>
        <s v="Cupang"/>
        <s v="Diskus"/>
        <s v="Frontosa"/>
        <s v="Greend Tiger"/>
        <s v="Guppy; Gupi; Gapi"/>
        <s v="Harlequin"/>
        <s v="Head Standar"/>
        <s v="Ikan Hantu/Black Ghost"/>
        <s v="Ikan Pedang, Ikan Pedang, Tumbuk, Thoek Kojek"/>
        <s v="Kaisar"/>
        <s v="Kar Tetra"/>
        <s v="Koi"/>
        <s v="Koki"/>
        <s v="Komet"/>
        <s v="Kongo Neon"/>
        <s v="Kongo Salem"/>
        <s v="Lalia"/>
        <s v="Lemon"/>
        <s v="Leuleupi"/>
        <s v="Lobster Hias"/>
        <s v="Louhan"/>
        <s v="Manvis"/>
        <s v="Marble"/>
        <s v="Micky Mouse"/>
        <s v="Moli"/>
        <s v="Mulut Api"/>
        <s v="Neon Api"/>
        <s v="Neon Berlian"/>
        <s v="Neon Tetra"/>
        <s v="Niasa"/>
        <s v="Oskar"/>
        <s v="Palmari"/>
        <s v="Palmas"/>
        <s v="Pancak"/>
        <s v="Paradis"/>
        <s v="Phantom Merah"/>
        <s v="Plati"/>
        <s v="Plati Coral"/>
        <s v="Plati Pedang"/>
        <s v="Rainbow"/>
        <s v="Red Devil"/>
        <s v="Red Nose"/>
        <s v="Rocket"/>
        <s v="Sapu Hias"/>
        <s v="Sepat Siam"/>
        <s v="Silver Dolar"/>
        <s v="Silver Slayer"/>
        <s v="Sodahar"/>
        <s v="Sumatra Albino"/>
        <s v="Tetra"/>
        <s v="Tiger Sumatra"/>
        <s v="Vilivera"/>
        <s v="Zebra"/>
        <s v="Ikan_04_Tawar"/>
        <s v="Ikan_05_Tawar"/>
        <s v="Ikan_06_Tawar"/>
      </sharedItems>
    </cacheField>
    <cacheField name="KAB. BARITO SELATAN Total" numFmtId="42">
      <sharedItems containsSemiMixedTypes="0" containsString="0" containsNumber="1" containsInteger="1" minValue="0" maxValue="0"/>
    </cacheField>
    <cacheField name="KAB. BARITO TIMUR Total" numFmtId="42">
      <sharedItems containsSemiMixedTypes="0" containsString="0" containsNumber="1" containsInteger="1" minValue="0" maxValue="0"/>
    </cacheField>
    <cacheField name="KAB. BARITO UTARA Total" numFmtId="42">
      <sharedItems containsSemiMixedTypes="0" containsString="0" containsNumber="1" containsInteger="1" minValue="0" maxValue="0"/>
    </cacheField>
    <cacheField name="KAB. GUNUNG MAS Total" numFmtId="42">
      <sharedItems containsSemiMixedTypes="0" containsString="0" containsNumber="1" containsInteger="1" minValue="0" maxValue="0"/>
    </cacheField>
    <cacheField name="KAB. KAPUAS Total" numFmtId="42">
      <sharedItems containsSemiMixedTypes="0" containsString="0" containsNumber="1" containsInteger="1" minValue="0" maxValue="0"/>
    </cacheField>
    <cacheField name="KAB. KATINGAN Total" numFmtId="42">
      <sharedItems containsSemiMixedTypes="0" containsString="0" containsNumber="1" containsInteger="1" minValue="0" maxValue="0"/>
    </cacheField>
    <cacheField name="KAB. KOTAWARINGIN BARAT Total" numFmtId="42">
      <sharedItems containsSemiMixedTypes="0" containsString="0" containsNumber="1" containsInteger="1" minValue="0" maxValue="0"/>
    </cacheField>
    <cacheField name="KAB. KOTAWARINGIN TIMUR Total" numFmtId="42">
      <sharedItems containsSemiMixedTypes="0" containsString="0" containsNumber="1" containsInteger="1" minValue="0" maxValue="0"/>
    </cacheField>
    <cacheField name="KAB. LAMANDAU Total" numFmtId="42">
      <sharedItems containsSemiMixedTypes="0" containsString="0" containsNumber="1" containsInteger="1" minValue="0" maxValue="0"/>
    </cacheField>
    <cacheField name="KAB. MURUNG RAYA Total" numFmtId="42">
      <sharedItems containsSemiMixedTypes="0" containsString="0" containsNumber="1" containsInteger="1" minValue="0" maxValue="0"/>
    </cacheField>
    <cacheField name="KAB. PULANG PISAU Total" numFmtId="42">
      <sharedItems containsSemiMixedTypes="0" containsString="0" containsNumber="1" containsInteger="1" minValue="0" maxValue="0"/>
    </cacheField>
    <cacheField name="KAB. SERUYAN Total" numFmtId="42">
      <sharedItems containsSemiMixedTypes="0" containsString="0" containsNumber="1" containsInteger="1" minValue="0" maxValue="0"/>
    </cacheField>
    <cacheField name="KAB. SUKAMARA Total" numFmtId="42">
      <sharedItems containsSemiMixedTypes="0" containsString="0" containsNumber="1" containsInteger="1" minValue="0" maxValue="0"/>
    </cacheField>
    <cacheField name="KOTA PALANGKARAYA Total" numFmtId="42">
      <sharedItems containsSemiMixedTypes="0" containsString="0" containsNumber="1" containsInteger="1" minValue="0" maxValue="0"/>
    </cacheField>
    <cacheField name="Grand Total" numFmtId="42">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ewlettpackard" refreshedDate="43481.617565624998" createdVersion="6" refreshedVersion="5" minRefreshableVersion="3" recordCount="168">
  <cacheSource type="worksheet">
    <worksheetSource ref="A3:I171" sheet="3. Isi Produksi (2)"/>
  </cacheSource>
  <cacheFields count="9">
    <cacheField name="Provinsi" numFmtId="0">
      <sharedItems count="34">
        <s v="KALIMANTAN TENGAH"/>
        <s v="JAWA TENGAH" u="1"/>
        <s v="KEPULAUAN RIAU" u="1"/>
        <s v="PAPUA BARAT" u="1"/>
        <s v="RIAU" u="1"/>
        <s v="SULAWESI UTARA" u="1"/>
        <s v="SUMATERA UTARA" u="1"/>
        <s v="MALUKU" u="1"/>
        <s v="DI YOGYAKARTA" u="1"/>
        <s v="NUSA TENGGARA TIMUR" u="1"/>
        <s v="KALIMANTAN UTARA" u="1"/>
        <s v="ACEH" u="1"/>
        <s v="SULAWESI TENGAH" u="1"/>
        <s v="BANTEN" u="1"/>
        <s v="JAWA TIMUR" u="1"/>
        <s v="SUMATERA SELATAN" u="1"/>
        <s v="GORONTALO" u="1"/>
        <s v="LAMPUNG" u="1"/>
        <s v="SULAWESI BARAT" u="1"/>
        <s v="SUMATERA BARAT" u="1"/>
        <s v="PAPUA" u="1"/>
        <s v="JAMBI" u="1"/>
        <s v="JAWA BARAT" u="1"/>
        <s v="KALIMANTAN BARAT" u="1"/>
        <s v="MALUKU UTARA" u="1"/>
        <s v="KALIMANTAN SELATAN" u="1"/>
        <s v="BENGKULU" u="1"/>
        <s v="DKI JAKARTA" u="1"/>
        <s v="KALIMANTAN TIMUR" u="1"/>
        <s v="BALI" u="1"/>
        <s v="SULAWESI SELATAN" u="1"/>
        <s v="SULAWESI TENGGARA" u="1"/>
        <s v="NUSA TENGGARA BARAT" u="1"/>
        <s v="KEPULAUAN BANGKA BELITUNG" u="1"/>
      </sharedItems>
    </cacheField>
    <cacheField name="KabupatenKota" numFmtId="0">
      <sharedItems count="514">
        <s v="KAB. BARITO SELATAN"/>
        <s v="KAB. BARITO TIMUR"/>
        <s v="KAB. BARITO UTARA"/>
        <s v="KAB. GUNUNG MAS"/>
        <s v="KAB. KAPUAS"/>
        <s v="KAB. KATINGAN"/>
        <s v="KAB. KOTAWARINGIN BARAT"/>
        <s v="KAB. KOTAWARINGIN TIMUR"/>
        <s v="KAB. LAMANDAU"/>
        <s v="KAB. MURUNG RAYA"/>
        <s v="KAB. PULANG PISAU"/>
        <s v="KAB. SERUYAN"/>
        <s v="KAB. SUKAMARA"/>
        <s v="KOTA PALANGKARAYA"/>
        <s v="KAB. TANJUNG JABUNG TIMUR" u="1"/>
        <s v="KAB. LAMPUNG UTARA" u="1"/>
        <s v="KAB. PESAWARAN" u="1"/>
        <s v="KAB. SUMBAWA" u="1"/>
        <s v="KAB. KARIMUN" u="1"/>
        <s v="KAB. BURU" u="1"/>
        <s v="KAB. LOMBOK BARAT" u="1"/>
        <s v="KAB. PEGUNUNGAN ARFAK" u="1"/>
        <s v="KAB. MOROWALI UTARA" u="1"/>
        <s v="KAB. BUTON UTARA" u="1"/>
        <s v="KAB. BALANGAN" u="1"/>
        <s v="KAB. EMPAT LAWANG" u="1"/>
        <s v="KAB. BUNGO" u="1"/>
        <s v="KAB. KUTAI KARTANEGARA" u="1"/>
        <s v="KAB. SRAGEN" u="1"/>
        <s v="KAB. DONGGALA" u="1"/>
        <s v="KAB. LEBAK" u="1"/>
        <s v="KOTA PASURUAN" u="1"/>
        <s v="KAB. KONAWE KEPULAUAN" u="1"/>
        <s v="KAB. MADIUN" u="1"/>
        <s v="KAB. WAKATOBI" u="1"/>
        <s v="KAB. BANGGAI LAUT" u="1"/>
        <s v="KAB. OGAN KOMERING ULU" u="1"/>
        <s v="KAB. MANGGARAI BARAT" u="1"/>
        <s v="KOTA BONTANG" u="1"/>
        <s v="KAB. TAPIN" u="1"/>
        <s v="KOTA PROBOLINGGO" u="1"/>
        <s v="KOTA BALIKPAPAN" u="1"/>
        <s v="KOTA BANDAR LAMPUNG" u="1"/>
        <s v="KAB. BIMA" u="1"/>
        <s v="KAB. GARUT" u="1"/>
        <s v="KAB. PAMEKASAN" u="1"/>
        <s v="KAB. TANGERANG" u="1"/>
        <s v="KAB. PANGKAJENE KEPULAUAN" u="1"/>
        <s v="KAB. HUMBANG HASUNDUTAN" u="1"/>
        <s v="KAB. LUWU UTARA" u="1"/>
        <s v="KAB. TABANAN" u="1"/>
        <s v="KAB. KAIMANA" u="1"/>
        <s v="KAB. WONOSOBO" u="1"/>
        <s v="KAB. KEPULAUAN SANGIHE" u="1"/>
        <s v="KOTA PADANGSIDIMPUAN" u="1"/>
        <s v="KOTA BANJARBARU" u="1"/>
        <s v="KAB. PASER" u="1"/>
        <s v="KAB. ROKAN HULU" u="1"/>
        <s v="KAB. ACEH UTARA" u="1"/>
        <s v="KAB. BADUNG" u="1"/>
        <s v="KAB. JEPARA" u="1"/>
        <s v="KAB. PADANG LAWAS UTARA" u="1"/>
        <s v="KAB. ENDE" u="1"/>
        <s v="KAB. TAPANULI TENGAH" u="1"/>
        <s v="KAB. KEDIRI" u="1"/>
        <s v="KAB. DAIRI" u="1"/>
        <s v="KAB. BANYUWANGI" u="1"/>
        <s v="KAB. POLEWALI MANDAR" u="1"/>
        <s v="KAB. TAPANULI UTARA" u="1"/>
        <s v="KAB. PULAU MOROTAI" u="1"/>
        <s v="KOTA AMBON" u="1"/>
        <s v="KAB. MAMUJU UTARA" u="1"/>
        <s v="KAB. BANYUMAS" u="1"/>
        <s v="KOTA YOGYAKARTA" u="1"/>
        <s v="KAB. PESISIR BARAT" u="1"/>
        <s v="KAB. BOJONEGORO" u="1"/>
        <s v="KAB. SAMPANG" u="1"/>
        <s v="KAB. SIJUNJUNG" u="1"/>
        <s v="KOTA TIDORE KEPULAUAN" u="1"/>
        <s v="KAB. KEPULAUAN YAPEN" u="1"/>
        <s v="KAB. DOMPU" u="1"/>
        <s v="KAB. CIREBON" u="1"/>
        <s v="KOTA MADIUN" u="1"/>
        <s v="KAB. TAPANULI SELATAN" u="1"/>
        <s v="KAB. BANDUNG" u="1"/>
        <s v="KAB. KETAPANG" u="1"/>
        <s v="KOTA BIMA" u="1"/>
        <s v="KOTA TANGERANG" u="1"/>
        <s v="KAB. MINAHASA" u="1"/>
        <s v="KAB. GORONTALO UTARA" u="1"/>
        <s v="KAB. ACEH JAYA" u="1"/>
        <s v="KAB. LOMBOK TENGAH" u="1"/>
        <s v="KAB. HULU SUNGAI SELATAN" u="1"/>
        <s v="KAB. TEMANGGUNG" u="1"/>
        <s v="KAB. TANA TIDUNG" u="1"/>
        <s v="KAB. TASIKMALAYA" u="1"/>
        <s v="KAB. GOWA" u="1"/>
        <s v="KAB. HALMAHERA TENGAH" u="1"/>
        <s v="KAB. HULU SUNGAI TENGAH" u="1"/>
        <s v="KAB. BANTAENG" u="1"/>
        <s v="KAB. AGAM" u="1"/>
        <s v="KAB. JAYAPURA" u="1"/>
        <s v="KAB. SAMOSIR" u="1"/>
        <s v="KAB. ACEH SELATAN" u="1"/>
        <s v="KAB. SUPIORI" u="1"/>
        <s v="KOTA KEDIRI" u="1"/>
        <s v="KAB. BANGKA TENGAH" u="1"/>
        <s v="KOTA BATU" u="1"/>
        <s v="KAB. MAMBERAMO RAYA" u="1"/>
        <s v="KOTA ADM. JAKARTA PUSAT" u="1"/>
        <s v="KAB. BANYUASIN" u="1"/>
        <s v="KAB. BELITUNG TIMUR" u="1"/>
        <s v="KAB. MALUKU TENGGARA" u="1"/>
        <s v="KAB. SORONG" u="1"/>
        <s v="KAB. SERAM BAGIAN BARAT" u="1"/>
        <s v="KOTA LANGSA" u="1"/>
        <s v="KAB. SABU RAIJUA" u="1"/>
        <s v="KOTA PONTIANAK" u="1"/>
        <s v="KAB. TAKALAR" u="1"/>
        <s v="KAB. KAMPAR" u="1"/>
        <s v="KAB. KUDUS" u="1"/>
        <s v="KAB. MAMUJU" u="1"/>
        <s v="KAB. BANGKA BARAT" u="1"/>
        <s v="KOTA DENPASAR" u="1"/>
        <s v="KAB. REJANG LEBONG" u="1"/>
        <s v="KAB. MOROWALI" u="1"/>
        <s v="KAB. SUKOHARJO" u="1"/>
        <s v="KAB. LABUHANBATU SELATAN" u="1"/>
        <s v="KOTA BITUNG" u="1"/>
        <s v="KAB. TRENGGALEK" u="1"/>
        <s v="KOTA CIREBON" u="1"/>
        <s v="KAB. PADANG PARIAMAN" u="1"/>
        <s v="KAB. PASAMAN" u="1"/>
        <s v="KOTA BANDUNG" u="1"/>
        <s v="KAB. REMBANG" u="1"/>
        <s v="KAB. SITUBONDO" u="1"/>
        <s v="KAB. PANGANDARAN" u="1"/>
        <s v="KAB. ACEH BARAT DAYA" u="1"/>
        <s v="KAB. ASMAT" u="1"/>
        <s v="KAB. RAJA AMPAT" u="1"/>
        <s v="KAB. JEMBER" u="1"/>
        <s v="KOTA METRO" u="1"/>
        <s v="KAB. KARO" u="1"/>
        <s v="KAB. PEMALANG" u="1"/>
        <s v="KAB. SEKADAU" u="1"/>
        <s v="KAB. KONAWE UTARA" u="1"/>
        <s v="KAB. ALOR" u="1"/>
        <s v="KOTA TARAKAN" u="1"/>
        <s v="KAB. NGADA" u="1"/>
        <s v="KAB. TELUK WONDAMA" u="1"/>
        <s v="KAB. KUTAI BARAT" u="1"/>
        <s v="KAB. KUANTAN SINGINGI" u="1"/>
        <s v="KOTA KENDARI" u="1"/>
        <s v="KAB. NGANJUK" u="1"/>
        <s v="KOTA TASIKMALAYA" u="1"/>
        <s v="KAB. KARANGANYAR" u="1"/>
        <s v="KAB. LUWU" u="1"/>
        <s v="KAB. BANJARNEGARA" u="1"/>
        <s v="KOTA JAYAPURA" u="1"/>
        <s v="KAB. PURWAKARTA" u="1"/>
        <s v="KAB. BONE" u="1"/>
        <s v="KOTA TANJUNG BALAI" u="1"/>
        <s v="KAB. MALUKU TENGAH" u="1"/>
        <s v="KAB. SERAM BAGIAN TIMUR" u="1"/>
        <s v="KAB. MELAWI" u="1"/>
        <s v="KOTA SORONG" u="1"/>
        <s v="KAB. LAHAT" u="1"/>
        <s v="KAB. SAROLANGUN" u="1"/>
        <s v="KAB. MAMUJU TENGAH" u="1"/>
        <s v="KAB. SOPPENG" u="1"/>
        <s v="KAB. KEPULAUAN TALAUD" u="1"/>
        <s v="KAB. TEGAL" u="1"/>
        <s v="KAB. ENREKANG" u="1"/>
        <s v="KAB. BIREUEN" u="1"/>
        <s v="KAB. SIGI" u="1"/>
        <s v="KOTA PADANG PANJANG" u="1"/>
        <s v="KAB. ASAHAN" u="1"/>
        <s v="KAB. PONOROGO" u="1"/>
        <s v="KAB. CIAMIS" u="1"/>
        <s v="KAB. JOMBANG" u="1"/>
        <s v="KAB. LABUHANBATU UTARA" u="1"/>
        <s v="KAB. KERINCI" u="1"/>
        <s v="KAB. NAGAN RAYA" u="1"/>
        <s v="KOTA BATAM" u="1"/>
        <s v="KAB. KEBUMEN" u="1"/>
        <s v="KAB. SUMBAWA BARAT" u="1"/>
        <s v="KAB. TANAH LAUT" u="1"/>
        <s v="KOTA SURABAYA" u="1"/>
        <s v="KAB. GAYO LUES" u="1"/>
        <s v="KAB. ACEH TENGGARA" u="1"/>
        <s v="KAB. LUMAJANG" u="1"/>
        <s v="KOTA SURAKARTA" u="1"/>
        <s v="KAB. LINGGA" u="1"/>
        <s v="KAB. BANGKA" u="1"/>
        <s v="KAB. ACEH SINGKIL" u="1"/>
        <s v="KAB. PACITAN" u="1"/>
        <s v="KAB. TULANG BAWANG" u="1"/>
        <s v="KAB. SINTANG" u="1"/>
        <s v="KAB. PUNCAK" u="1"/>
        <s v="KAB. BANGLI" u="1"/>
        <s v="KAB. FLORES TIMUR" u="1"/>
        <s v="KAB. MAHAKAM ULU" u="1"/>
        <s v="KOTA SALATIGA" u="1"/>
        <s v="KAB. YAHUKIMO" u="1"/>
        <s v="KAB. KUBU RAYA" u="1"/>
        <s v="KAB. LANDAK" u="1"/>
        <s v="KAB. KAPUAS HULU" u="1"/>
        <s v="KAB. MAMASA" u="1"/>
        <s v="KAB. SERDANG BEDAGAI" u="1"/>
        <s v="KAB. ACEH BARAT" u="1"/>
        <s v="KOTA TEGAL" u="1"/>
        <s v="KOTA BENGKULU" u="1"/>
        <s v="KAB. GIANYAR" u="1"/>
        <s v="KAB. LAMPUNG TIMUR" u="1"/>
        <s v="KAB. LAMPUNG SELATAN" u="1"/>
        <s v="KAB. PELALAWAN" u="1"/>
        <s v="KAB. BANGKA SELATAN" u="1"/>
        <s v="KOTA PALOPO" u="1"/>
        <s v="KAB. MAJENE" u="1"/>
        <s v="KAB. BARITO KUALA" u="1"/>
        <s v="KOTA PEKANBARU" u="1"/>
        <s v="KOTA SAMARINDA" u="1"/>
        <s v="KAB. KONAWE SELATAN" u="1"/>
        <s v="KAB. MALANG" u="1"/>
        <s v="KAB. LAMPUNG TENGAH" u="1"/>
        <s v="KAB. MAMBERAMO TENGAH" u="1"/>
        <s v="KAB. SORONG SELATAN" u="1"/>
        <s v="KAB. KOLAKA UTARA" u="1"/>
        <s v="KAB. TANJUNG JABUNG BARAT" u="1"/>
        <s v="KAB. MALINAU" u="1"/>
        <s v="KAB. LOMBOK UTARA" u="1"/>
        <s v="KAB. KONAWE" u="1"/>
        <s v="KAB. BOYOLALI" u="1"/>
        <s v="KAB. BANGKALAN" u="1"/>
        <s v="KAB. TORAJA UTARA" u="1"/>
        <s v="KAB. LIMA PULUH KOTA" u="1"/>
        <s v="KAB. MALAKA" u="1"/>
        <s v="KAB. MINAHASA UTARA" u="1"/>
        <s v="KAB. NABIRE" u="1"/>
        <s v="KAB. MALUKU TENGGARA BARAT" u="1"/>
        <s v="KOTA GUNUNGSITOLI" u="1"/>
        <s v="KAB. BULELENG" u="1"/>
        <s v="KOTA SUBULUSSALAM" u="1"/>
        <s v="KAB. KEP. SIAU TAGULANDANG BIARO" u="1"/>
        <s v="KOTA PADANG" u="1"/>
        <s v="KAB. MERAUKE" u="1"/>
        <s v="KAB. LAMONGAN" u="1"/>
        <s v="KAB. PUNCAK JAYA" u="1"/>
        <s v="KAB. KEPULAUAN ARU" u="1"/>
        <s v="KOTA BUKITTINGGI" u="1"/>
        <s v="KAB. PENUKAL ABAB LEMATANG ILIR" u="1"/>
        <s v="KAB. BULUKUMBA" u="1"/>
        <s v="KAB. KEPULAUAN MERANTI" u="1"/>
        <s v="KAB. LUWU TIMUR" u="1"/>
        <s v="KAB. BUTON SELATAN" u="1"/>
        <s v="KAB. BELITUNG" u="1"/>
        <s v="KAB. PANIAI" u="1"/>
        <s v="KAB. KOLAKA" u="1"/>
        <s v="KAB. ACEH TIMUR" u="1"/>
        <s v="KOTA TOMOHON" u="1"/>
        <s v="KOTA MALANG" u="1"/>
        <s v="KOTA PANGKAL PINANG" u="1"/>
        <s v="KAB. MAGELANG" u="1"/>
        <s v="KAB. HALMAHERA UTARA" u="1"/>
        <s v="KAB. PIDIE JAYA" u="1"/>
        <s v="KAB. SIMEULUE" u="1"/>
        <s v="KOTA LHOKSEUMAWE" u="1"/>
        <s v="KAB. TULUNGAGUNG" u="1"/>
        <s v="KAB. PIDIE" u="1"/>
        <s v="KAB. BARRU" u="1"/>
        <s v="KAB. BATANG" u="1"/>
        <s v="KAB. KLATEN" u="1"/>
        <s v="KAB. KAUR" u="1"/>
        <s v="KAB. KARANGASEM" u="1"/>
        <s v="KOTA PAYAKUMBUH" u="1"/>
        <s v="KAB. KEPAHIANG" u="1"/>
        <s v="KAB. SOLOK SELATAN" u="1"/>
        <s v="KAB. KEEROM" u="1"/>
        <s v="KOTA DEPOK" u="1"/>
        <s v="KAB. WAY KANAN" u="1"/>
        <s v="KAB. NIAS SELATAN" u="1"/>
        <s v="KAB. MANOKWARI SELATAN" u="1"/>
        <s v="KAB. PADANG LAWAS" u="1"/>
        <s v="KAB. FAK FAK" u="1"/>
        <s v="KAB. ACEH TENGAH" u="1"/>
        <s v="KOTA SIBOLGA" u="1"/>
        <s v="KAB. LEMBATA" u="1"/>
        <s v="KAB. TANGGAMUS" u="1"/>
        <s v="KAB. BOLAANG MONGONDOW" u="1"/>
        <s v="KAB. BATANGHARI" u="1"/>
        <s v="KAB. TANAH BUMBU" u="1"/>
        <s v="KAB. LABUHANBATU" u="1"/>
        <s v="KAB. TELUK BINTUNI" u="1"/>
        <s v="KAB. BATU BARA" u="1"/>
        <s v="KAB. SLEMAN" u="1"/>
        <s v="KAB. TABALONG" u="1"/>
        <s v="KAB. MESUJI" u="1"/>
        <s v="KAB. SIKKA" u="1"/>
        <s v="KAB. SANGGAU" u="1"/>
        <s v="KAB. TOLIKARA" u="1"/>
        <s v="KAB. SUMBA TIMUR" u="1"/>
        <s v="KAB. PEGUNUNGAN BINTANG" u="1"/>
        <s v="KAB. BUOL" u="1"/>
        <s v="KAB. TANAH DATAR" u="1"/>
        <s v="KOTA MAGELANG" u="1"/>
        <s v="KAB. MUNA" u="1"/>
        <s v="KAB. TIMOR TENGAH SELATAN" u="1"/>
        <s v="KOTA PALU" u="1"/>
        <s v="KOTA ADM. JAKARTA BARAT" u="1"/>
        <s v="KAB. HALMAHERA TIMUR" u="1"/>
        <s v="KAB. BOLAANG MONGONDOW UTARA" u="1"/>
        <s v="KOTA BANJARMASIN" u="1"/>
        <s v="KAB. TOBA SAMOSIR" u="1"/>
        <s v="KAB. INDRAGIRI HILIR" u="1"/>
        <s v="KAB. SOLOK" u="1"/>
        <s v="KAB. BURU SELATAN" u="1"/>
        <s v="KAB. MUSI RAWAS" u="1"/>
        <s v="KAB. NDUGA" u="1"/>
        <s v="KAB. PAHUWATO" u="1"/>
        <s v="KAB. NIAS UTARA" u="1"/>
        <s v="KAB. ROKAN HILIR" u="1"/>
        <s v="KAB. PULAU TALIABU" u="1"/>
        <s v="KOTA TUAL" u="1"/>
        <s v="KAB. YALIMO" u="1"/>
        <s v="KAB. MUSI RAWAS UTARA" u="1"/>
        <s v="KAB. NUNUKAN" u="1"/>
        <s v="KAB. SEMARANG" u="1"/>
        <s v="KAB. BOMBANA" u="1"/>
        <s v="KOTA BAU BAU" u="1"/>
        <s v="KAB. JAYAWIJAYA" u="1"/>
        <s v="KAB. BELU" u="1"/>
        <s v="KAB. BANTUL" u="1"/>
        <s v="KAB. PRINGSEWU" u="1"/>
        <s v="KAB. WAJO" u="1"/>
        <s v="KAB. TIMOR TENGAH UTARA" u="1"/>
        <s v="KAB. BENER MERIAH" u="1"/>
        <s v="KAB. PATI" u="1"/>
        <s v="KAB. SIMALUNGUN" u="1"/>
        <s v="KAB. SIDENRENG RAPPANG" u="1"/>
        <s v="KAB. MAJALENGKA" u="1"/>
        <s v="KAB. MUSI BANYUASIN" u="1"/>
        <s v="KOTA LUBUK LINGGAU" u="1"/>
        <s v="KAB. TULANG BAWANG BARAT" u="1"/>
        <s v="KAB. MINAHASA SELATAN" u="1"/>
        <s v="KAB. BENGKAYANG" u="1"/>
        <s v="KOTA ADM. JAKARTA TIMUR" u="1"/>
        <s v="KAB. TEBO" u="1"/>
        <s v="KAB. PEKALONGAN" u="1"/>
        <s v="KAB. PENAJAM PASER UTARA" u="1"/>
        <s v="KAB. BANJAR" u="1"/>
        <s v="KAB. INDRAMAYU" u="1"/>
        <s v="KAB. KOLAKA TIMUR" u="1"/>
        <s v="KOTA SOLOK" u="1"/>
        <s v="KAB. BLORA" u="1"/>
        <s v="KAB. MUNA BARAT" u="1"/>
        <s v="KAB. LOMBOK TIMUR" u="1"/>
        <s v="KAB. KEPULAUAN SULA" u="1"/>
        <s v="KAB. BANGGAI" u="1"/>
        <s v="KAB. BLITAR" u="1"/>
        <s v="KAB. JENEPONTO" u="1"/>
        <s v="KOTA TANGERANG SELATAN" u="1"/>
        <s v="KOTA MATARAM" u="1"/>
        <s v="KOTA MAKASSAR" u="1"/>
        <s v="KOTA SEMARANG" u="1"/>
        <s v="KAB. GORONTALO" u="1"/>
        <s v="KAB. INTAN JAYA" u="1"/>
        <s v="KAB. PASAMAN BARAT" u="1"/>
        <s v="KAB. NGAWI" u="1"/>
        <s v="KAB. ADM. KEPULAUAN SERIBU" u="1"/>
        <s v="KAB. BUTON" u="1"/>
        <s v="KAB. GRESIK" u="1"/>
        <s v="KAB. BULUNGAN" u="1"/>
        <s v="KOTA MEDAN" u="1"/>
        <s v="KOTA PAGAR ALAM" u="1"/>
        <s v="KAB. BOVEN DIGOEL" u="1"/>
        <s v="KAB. TOJO UNA UNA" u="1"/>
        <s v="KAB. SAMBAS" u="1"/>
        <s v="KOTA BINJAI" u="1"/>
        <s v="KOTA SAWAHLUNTO" u="1"/>
        <s v="KAB. KUPANG" u="1"/>
        <s v="KAB. LEBONG" u="1"/>
        <s v="KAB. BANDUNG BARAT" u="1"/>
        <s v="KAB. LAMPUNG BARAT" u="1"/>
        <s v="KAB. HALMAHERA BARAT" u="1"/>
        <s v="KAB. BANGGAI KEPULAUAN" u="1"/>
        <s v="KOTA PEKALONGAN" u="1"/>
        <s v="KAB. MANDAILING NATAL" u="1"/>
        <s v="KAB. PURWOREJO" u="1"/>
        <s v="KAB. SUMENEP" u="1"/>
        <s v="KAB. CIANJUR" u="1"/>
        <s v="KOTA BANJAR" u="1"/>
        <s v="KOTA TERNATE" u="1"/>
        <s v="KAB. GROBOGAN" u="1"/>
        <s v="KAB. SERANG" u="1"/>
        <s v="KOTA PEMATANG SIANTAR" u="1"/>
        <s v="KOTA BLITAR" u="1"/>
        <s v="KAB. MINAHASA TENGGARA" u="1"/>
        <s v="KOTA CIMAHI" u="1"/>
        <s v="KOTA CILEGON" u="1"/>
        <s v="KOTA ADM. JAKARTA UTARA" u="1"/>
        <s v="KAB. DEIYAI" u="1"/>
        <s v="KAB. MIMIKA" u="1"/>
        <s v="KAB. BENGKALIS" u="1"/>
        <s v="KAB. SUBANG" u="1"/>
        <s v="KAB. TOLI TOLI" u="1"/>
        <s v="KAB. KEPULAUAN MENTAWAI" u="1"/>
        <s v="KAB. NIAS" u="1"/>
        <s v="KOTA GORONTALO" u="1"/>
        <s v="KAB. KOTABARU" u="1"/>
        <s v="KAB. MOJOKERTO" u="1"/>
        <s v="KAB. ACEH TAMIANG" u="1"/>
        <s v="KAB. NAGEKEO" u="1"/>
        <s v="KAB. DELI SERDANG" u="1"/>
        <s v="KAB. OGAN KOMERING ULU TIMUR" u="1"/>
        <s v="KAB. POSO" u="1"/>
        <s v="KOTA SUNGAI PENUH" u="1"/>
        <s v="KAB. PESISIR SELATAN" u="1"/>
        <s v="KAB. KULON PROGO" u="1"/>
        <s v="KOTA ADM. JAKARTA SELATAN" u="1"/>
        <s v="KAB. HALMAHERA SELATAN" u="1"/>
        <s v="KAB. BOGOR" u="1"/>
        <s v="KOTA KUPANG" u="1"/>
        <s v="KAB. PINRANG" u="1"/>
        <s v="KOTA SABANG" u="1"/>
        <s v="KAB. SIDOARJO" u="1"/>
        <s v="KOTA PALEMBANG" u="1"/>
        <s v="KOTA MANADO" u="1"/>
        <s v="KAB. KLUNGKUNG" u="1"/>
        <s v="KOTA PARE PARE" u="1"/>
        <s v="KOTA KOTAMOBAGU" u="1"/>
        <s v="KAB. BREBES" u="1"/>
        <s v="KAB. CILACAP" u="1"/>
        <s v="KAB. SUMBA TENGAH" u="1"/>
        <s v="KAB. KAYONG UTARA" u="1"/>
        <s v="KAB. OGAN KOMERING ILIR" u="1"/>
        <s v="KAB. DEMAK" u="1"/>
        <s v="KOTA SERANG" u="1"/>
        <s v="KAB. MANGGARAI" u="1"/>
        <s v="KAB. MAYBRAT" u="1"/>
        <s v="KAB. BONDOWOSO" u="1"/>
        <s v="KAB. KUTAI TIMUR" u="1"/>
        <s v="KAB. OGAN ILIR" u="1"/>
        <s v="KOTA SINGKAWANG" u="1"/>
        <s v="KAB. JEMBRANA" u="1"/>
        <s v="KOTA MOJOKERTO" u="1"/>
        <s v="KAB. SUKABUMI" u="1"/>
        <s v="KAB. BENGKULU TENGAH" u="1"/>
        <s v="KOTA TEBING TINGGI" u="1"/>
        <s v="KAB. MAROS" u="1"/>
        <s v="KAB. PURBALINGGA" u="1"/>
        <s v="KAB. BENGKULU UTARA" u="1"/>
        <s v="KAB. MERANGIN" u="1"/>
        <s v="KAB. NIAS BARAT" u="1"/>
        <s v="KAB. MUARO JAMBI" u="1"/>
        <s v="KAB. BOALEMO" u="1"/>
        <s v="KAB. BEKASI" u="1"/>
        <s v="KOTA BOGOR" u="1"/>
        <s v="KOTA PARIAMAN" u="1"/>
        <s v="KAB. ROTE NDAO" u="1"/>
        <s v="KAB. BENGKULU SELATAN" u="1"/>
        <s v="KAB. KUNINGAN" u="1"/>
        <s v="kOTA PRABUMULIH" u="1"/>
        <s v="KAB. DHARMASRAYA" u="1"/>
        <s v="KAB. KENDAL" u="1"/>
        <s v="KAB. PAKPAK BHARAT" u="1"/>
        <s v="KAB. BOLAANG MONGONDOW TIMUR" u="1"/>
        <s v="KAB. MEMPAWAH" u="1"/>
        <s v="KAB. TANA TORAJA" u="1"/>
        <s v="KAB. BONE BOLANGO" u="1"/>
        <s v="KAB. KARAWANG" u="1"/>
        <s v="KAB. INDRAGIRI HULU" u="1"/>
        <s v="KAB. PARIGI MOUTONG" u="1"/>
        <s v="KAB. GUNUNGKIDUL" u="1"/>
        <s v="KOTA TANJUNG PINANG" u="1"/>
        <s v="KAB. PANDEGLANG" u="1"/>
        <s v="KOTA JAMBI" u="1"/>
        <s v="KAB. KEPULAUAN SELAYAR" u="1"/>
        <s v="KAB. SARMI" u="1"/>
        <s v="KOTA BANDA ACEH" u="1"/>
        <s v="KAB. HULU SUNGAI UTARA" u="1"/>
        <s v="KAB. LANGKAT" u="1"/>
        <s v="KAB. MANGGARAI TIMUR" u="1"/>
        <s v="KAB. MAPPI" u="1"/>
        <s v="KAB. ACEH BESAR" u="1"/>
        <s v="KOTA SUKABUMI" u="1"/>
        <s v="KAB. WONOGIRI" u="1"/>
        <s v="KAB. MUKO MUKO" u="1"/>
        <s v="KOTA BEKASI" u="1"/>
        <s v="KAB. KEPULAUAN ANAMBAS" u="1"/>
        <s v="KOTA DUMAI" u="1"/>
        <s v="KAB. SUMBA BARAT" u="1"/>
        <s v="KAB. BINTAN" u="1"/>
        <s v="KAB. MALUKU BARAT DAYA" u="1"/>
        <s v="KAB. SUMBA BARAT DAYA" u="1"/>
        <s v="KAB. TUBAN" u="1"/>
        <s v="KAB. SELUMA" u="1"/>
        <s v="KAB. LANNY JAYA" u="1"/>
        <s v="KAB. SIAK" u="1"/>
        <s v="KAB. PASURUAN" u="1"/>
        <s v="KAB. MUARA ENIM" u="1"/>
        <s v="KAB. MANOKWARI" u="1"/>
        <s v="KAB. BERAU" u="1"/>
        <s v="KAB. PROBOLINGGO" u="1"/>
        <s v="KAB. SUMEDANG" u="1"/>
        <s v="KAB. OGAN KOMERING ULU SELATAN" u="1"/>
        <s v="KAB. MAGETAN" u="1"/>
        <s v="KAB. BOLAANG MONGONDOW SELATAN" u="1"/>
        <s v="KAB. TAMBRAUW" u="1"/>
        <s v="KAB. WAROPEN" u="1"/>
        <s v="KAB. BIAK NUMFOR" u="1"/>
        <s v="KAB. NATUNA" u="1"/>
        <s v="KAB. SINJAI" u="1"/>
        <s v="KAB. DOGIYAI" u="1"/>
        <s v="KAB. BUTON TENGAH" u="1"/>
      </sharedItems>
    </cacheField>
    <cacheField name="ID" numFmtId="0">
      <sharedItems containsSemiMixedTypes="0" containsString="0" containsNumber="1" containsInteger="1" minValue="329" maxValue="342"/>
    </cacheField>
    <cacheField name="Jenis Budidaya" numFmtId="0">
      <sharedItems count="4">
        <s v="Ikan_Hias_Air_Laut"/>
        <s v="Ikan_Hias_Air_Tawar"/>
        <s v="Pembenihan_Air_Laut" u="1"/>
        <s v="Pembenihan_Air_Tawar" u="1"/>
      </sharedItems>
    </cacheField>
    <cacheField name="Semester" numFmtId="0">
      <sharedItems/>
    </cacheField>
    <cacheField name="Periode" numFmtId="0">
      <sharedItems containsSemiMixedTypes="0" containsString="0" containsNumber="1" containsInteger="1" minValue="201807" maxValue="201812"/>
    </cacheField>
    <cacheField name="N" numFmtId="165">
      <sharedItems containsSemiMixedTypes="0" containsString="0" containsNumber="1" containsInteger="1" minValue="0" maxValue="3"/>
    </cacheField>
    <cacheField name="Pn" numFmtId="165">
      <sharedItems containsSemiMixedTypes="0" containsString="0" containsNumber="1" containsInteger="1" minValue="0" maxValue="0"/>
    </cacheField>
    <cacheField name="Agregat Final" numFmtId="165">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ASUS" refreshedDate="43528.727397222225" createdVersion="6" refreshedVersion="4" minRefreshableVersion="3" recordCount="168">
  <cacheSource type="worksheet">
    <worksheetSource ref="A3:W171" sheet="3. Isi Produksi"/>
  </cacheSource>
  <cacheFields count="23">
    <cacheField name="Provinsi" numFmtId="0">
      <sharedItems/>
    </cacheField>
    <cacheField name="KabupatenKota" numFmtId="0">
      <sharedItems count="52">
        <s v="KAB. BARITO SELATAN"/>
        <s v="KAB. BARITO TIMUR"/>
        <s v="KAB. BARITO UTARA"/>
        <s v="KAB. GUNUNG MAS"/>
        <s v="KAB. KAPUAS"/>
        <s v="KAB. KATINGAN"/>
        <s v="KAB. KOTAWARINGIN BARAT"/>
        <s v="KAB. KOTAWARINGIN TIMUR"/>
        <s v="KAB. LAMANDAU"/>
        <s v="KAB. MURUNG RAYA"/>
        <s v="KAB. PULANG PISAU"/>
        <s v="KAB. SERUYAN"/>
        <s v="KAB. SUKAMARA"/>
        <s v="KOTA PALANGKARAYA"/>
        <s v="KAB. PROBOLINGGO" u="1"/>
        <s v="KAB. MADIUN" u="1"/>
        <s v="KAB. LAMONGAN" u="1"/>
        <s v="KAB. PONOROGO" u="1"/>
        <s v="KAB. PACITAN" u="1"/>
        <s v="KAB. PASURUAN" u="1"/>
        <s v="KAB. GRESIK" u="1"/>
        <s v="KOTA KEDIRI" u="1"/>
        <s v="KAB. BANYUWANGI" u="1"/>
        <s v="KAB. BONDOWOSO" u="1"/>
        <s v="KOTA BLITAR" u="1"/>
        <s v="KOTA MALANG" u="1"/>
        <s v="KAB. KEDIRI" u="1"/>
        <s v="KAB. MAGETAN" u="1"/>
        <s v="KAB. JOMBANG" u="1"/>
        <s v="KAB. TRENGGALEK" u="1"/>
        <s v="KOTA BATU" u="1"/>
        <s v="KAB. BOJONEGORO" u="1"/>
        <s v="KOTA SURABAYA" u="1"/>
        <s v="KAB. SIDOARJO" u="1"/>
        <s v="KAB. PAMEKASAN" u="1"/>
        <s v="KAB. BLITAR" u="1"/>
        <s v="KAB. MALANG" u="1"/>
        <s v="KAB. JEMBER" u="1"/>
        <s v="KAB. SAMPANG" u="1"/>
        <s v="KAB. LUMAJANG" u="1"/>
        <s v="KOTA MOJOKERTO" u="1"/>
        <s v="KAB. SUMENEP" u="1"/>
        <s v="KAB. NGANJUK" u="1"/>
        <s v="KOTA PROBOLINGGO" u="1"/>
        <s v="KOTA MADIUN" u="1"/>
        <s v="KAB. TULUNGAGUNG" u="1"/>
        <s v="KAB. NGAWI" u="1"/>
        <s v="KOTA PASURUAN" u="1"/>
        <s v="KAB. SITUBONDO" u="1"/>
        <s v="KAB. BANGKALAN" u="1"/>
        <s v="KAB. MOJOKERTO" u="1"/>
        <s v="KAB. TUBAN" u="1"/>
      </sharedItems>
    </cacheField>
    <cacheField name="ID" numFmtId="0">
      <sharedItems containsSemiMixedTypes="0" containsString="0" containsNumber="1" containsInteger="1" minValue="329" maxValue="342"/>
    </cacheField>
    <cacheField name="Jenis Budidaya" numFmtId="0">
      <sharedItems count="4">
        <s v="Ikan_Hias_Air_Laut"/>
        <s v="Ikan_Hias_Air_Tawar"/>
        <s v="Pembenihan_Air_Laut" u="1"/>
        <s v="Pembenihan_Air_Tawar" u="1"/>
      </sharedItems>
    </cacheField>
    <cacheField name="Semester" numFmtId="0">
      <sharedItems/>
    </cacheField>
    <cacheField name="Periode" numFmtId="0">
      <sharedItems containsSemiMixedTypes="0" containsString="0" containsNumber="1" containsInteger="1" minValue="201807" maxValue="201812"/>
    </cacheField>
    <cacheField name="N (m²)" numFmtId="165">
      <sharedItems containsSemiMixedTypes="0" containsString="0" containsNumber="1" containsInteger="1" minValue="0" maxValue="3"/>
    </cacheField>
    <cacheField name="n (m²)2" numFmtId="165">
      <sharedItems containsSemiMixedTypes="0" containsString="0" containsNumber="1" containsInteger="1" minValue="0" maxValue="0"/>
    </cacheField>
    <cacheField name="P (ekor)" numFmtId="165">
      <sharedItems containsSemiMixedTypes="0" containsString="0" containsNumber="1" containsInteger="1" minValue="0" maxValue="0"/>
    </cacheField>
    <cacheField name="Pn (ekor/m²)" numFmtId="41">
      <sharedItems containsSemiMixedTypes="0" containsString="0" containsNumber="1" containsInteger="1" minValue="0" maxValue="0"/>
    </cacheField>
    <cacheField name="Agregat Sampling (ekor)" numFmtId="165">
      <sharedItems containsSemiMixedTypes="0" containsString="0" containsNumber="1" containsInteger="1" minValue="0" maxValue="0"/>
    </cacheField>
    <cacheField name="N (m²)3" numFmtId="165">
      <sharedItems containsSemiMixedTypes="0" containsString="0" containsNumber="1" containsInteger="1" minValue="0" maxValue="3"/>
    </cacheField>
    <cacheField name="Pn (ekor/m²)2" numFmtId="41">
      <sharedItems containsSemiMixedTypes="0" containsString="0" containsNumber="1" containsInteger="1" minValue="0" maxValue="0"/>
    </cacheField>
    <cacheField name="Agregat 2017 (ekor)" numFmtId="165">
      <sharedItems containsSemiMixedTypes="0" containsString="0" containsNumber="1" containsInteger="1" minValue="0" maxValue="0"/>
    </cacheField>
    <cacheField name="N (m²)4" numFmtId="165">
      <sharedItems containsSemiMixedTypes="0" containsString="0" containsNumber="1" containsInteger="1" minValue="0" maxValue="3"/>
    </cacheField>
    <cacheField name="Pn (ekor/m²)3" numFmtId="41">
      <sharedItems containsSemiMixedTypes="0" containsString="0" containsNumber="1" containsInteger="1" minValue="0" maxValue="0"/>
    </cacheField>
    <cacheField name="Agregat Pusat (ekor)" numFmtId="165">
      <sharedItems containsSemiMixedTypes="0" containsString="0" containsNumber="1" containsInteger="1" minValue="0" maxValue="0"/>
    </cacheField>
    <cacheField name="N (m²)5" numFmtId="165">
      <sharedItems containsSemiMixedTypes="0" containsString="0" containsNumber="1" containsInteger="1" minValue="0" maxValue="0"/>
    </cacheField>
    <cacheField name="Pn (ekor/m²)4" numFmtId="41">
      <sharedItems containsSemiMixedTypes="0" containsString="0" containsNumber="1" containsInteger="1" minValue="0" maxValue="0"/>
    </cacheField>
    <cacheField name="Agregat Daerah (ekor)" numFmtId="165">
      <sharedItems containsSemiMixedTypes="0" containsString="0" containsNumber="1" containsInteger="1" minValue="0" maxValue="0"/>
    </cacheField>
    <cacheField name="N (m²)6" numFmtId="165">
      <sharedItems containsSemiMixedTypes="0" containsString="0" containsNumber="1" containsInteger="1" minValue="0" maxValue="0"/>
    </cacheField>
    <cacheField name="Pn (ekor/m²)5" numFmtId="41">
      <sharedItems containsSemiMixedTypes="0" containsString="0" containsNumber="1" containsInteger="1" minValue="0" maxValue="0"/>
    </cacheField>
    <cacheField name="Agregat Final (ekor)" numFmtId="165">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ASUS" refreshedDate="43528.727480439811" createdVersion="6" refreshedVersion="4" minRefreshableVersion="3" recordCount="28">
  <cacheSource type="worksheet">
    <worksheetSource ref="A3:D31" sheet="2. Isi Jumlah RTP"/>
  </cacheSource>
  <cacheFields count="4">
    <cacheField name="Nama_Provinsi" numFmtId="0">
      <sharedItems/>
    </cacheField>
    <cacheField name="Nama_KabupatenKota" numFmtId="0">
      <sharedItems count="514">
        <s v="KAB. BARITO SELATAN"/>
        <s v="KAB. BARITO TIMUR"/>
        <s v="KAB. BARITO UTARA"/>
        <s v="KAB. GUNUNG MAS"/>
        <s v="KAB. KAPUAS"/>
        <s v="KAB. KATINGAN"/>
        <s v="KAB. KOTAWARINGIN BARAT"/>
        <s v="KAB. KOTAWARINGIN TIMUR"/>
        <s v="KAB. LAMANDAU"/>
        <s v="KAB. MURUNG RAYA"/>
        <s v="KAB. PULANG PISAU"/>
        <s v="KAB. SERUYAN"/>
        <s v="KAB. SUKAMARA"/>
        <s v="KOTA PALANGKARAYA"/>
        <s v="KAB. TANJUNG JABUNG TIMUR" u="1"/>
        <s v="KAB. LAMPUNG UTARA" u="1"/>
        <s v="KAB. PESAWARAN" u="1"/>
        <s v="KAB. SUMBAWA" u="1"/>
        <s v="KAB. KARIMUN" u="1"/>
        <s v="KAB. BURU" u="1"/>
        <s v="KAB. LOMBOK BARAT" u="1"/>
        <s v="KAB. PEGUNUNGAN ARFAK" u="1"/>
        <s v="KAB. MOROWALI UTARA" u="1"/>
        <s v="KAB. BUTON UTARA" u="1"/>
        <s v="KAB. BALANGAN" u="1"/>
        <s v="KAB. EMPAT LAWANG" u="1"/>
        <s v="KAB. BUNGO" u="1"/>
        <s v="KAB. KUTAI KARTANEGARA" u="1"/>
        <s v="KAB. SRAGEN" u="1"/>
        <s v="KAB. DONGGALA" u="1"/>
        <s v="KAB. LEBAK" u="1"/>
        <s v="KOTA PASURUAN" u="1"/>
        <s v="KAB. KONAWE KEPULAUAN" u="1"/>
        <s v="KAB. MADIUN" u="1"/>
        <s v="KAB. WAKATOBI" u="1"/>
        <s v="KAB. BANGGAI LAUT" u="1"/>
        <s v="KAB. OGAN KOMERING ULU" u="1"/>
        <s v="KAB. MANGGARAI BARAT" u="1"/>
        <s v="KOTA BONTANG" u="1"/>
        <s v="KAB. TAPIN" u="1"/>
        <s v="KOTA PROBOLINGGO" u="1"/>
        <s v="KOTA BALIKPAPAN" u="1"/>
        <s v="KOTA BANDAR LAMPUNG" u="1"/>
        <s v="KAB. BIMA" u="1"/>
        <s v="KAB. GARUT" u="1"/>
        <s v="KAB. PAMEKASAN" u="1"/>
        <s v="KAB. TANGERANG" u="1"/>
        <s v="KAB. PANGKAJENE KEPULAUAN" u="1"/>
        <s v="KAB. HUMBANG HASUNDUTAN" u="1"/>
        <s v="KAB. LUWU UTARA" u="1"/>
        <s v="KAB. TABANAN" u="1"/>
        <s v="KAB. KAIMANA" u="1"/>
        <s v="KAB. WONOSOBO" u="1"/>
        <s v="KAB. KEPULAUAN SANGIHE" u="1"/>
        <s v="KOTA PADANGSIDIMPUAN" u="1"/>
        <s v="KOTA BANJARBARU" u="1"/>
        <s v="KAB. PASER" u="1"/>
        <s v="KAB. ROKAN HULU" u="1"/>
        <s v="KAB. ACEH UTARA" u="1"/>
        <s v="KAB. BADUNG" u="1"/>
        <s v="KAB. JEPARA" u="1"/>
        <s v="KAB. PADANG LAWAS UTARA" u="1"/>
        <s v="KAB. ENDE" u="1"/>
        <s v="KAB. TAPANULI TENGAH" u="1"/>
        <s v="KAB. KEDIRI" u="1"/>
        <s v="KAB. DAIRI" u="1"/>
        <s v="KAB. BANYUWANGI" u="1"/>
        <s v="KAB. POLEWALI MANDAR" u="1"/>
        <s v="KAB. TAPANULI UTARA" u="1"/>
        <s v="KAB. PULAU MOROTAI" u="1"/>
        <s v="KOTA AMBON" u="1"/>
        <s v="KAB. MAMUJU UTARA" u="1"/>
        <s v="KAB. BANYUMAS" u="1"/>
        <s v="KOTA YOGYAKARTA" u="1"/>
        <s v="KAB. PESISIR BARAT" u="1"/>
        <s v="KAB. BOJONEGORO" u="1"/>
        <s v="KAB. SAMPANG" u="1"/>
        <s v="KAB. SIJUNJUNG" u="1"/>
        <s v="KOTA TIDORE KEPULAUAN" u="1"/>
        <s v="KAB. KEPULAUAN YAPEN" u="1"/>
        <s v="KAB. DOMPU" u="1"/>
        <s v="KAB. CIREBON" u="1"/>
        <s v="KOTA MADIUN" u="1"/>
        <s v="KAB. TAPANULI SELATAN" u="1"/>
        <s v="KAB. BANDUNG" u="1"/>
        <s v="KAB. KETAPANG" u="1"/>
        <s v="KOTA BIMA" u="1"/>
        <s v="KOTA TANGERANG" u="1"/>
        <s v="KAB. MINAHASA" u="1"/>
        <s v="KAB. GORONTALO UTARA" u="1"/>
        <s v="KAB. ACEH JAYA" u="1"/>
        <s v="KAB. LOMBOK TENGAH" u="1"/>
        <s v="KAB. HULU SUNGAI SELATAN" u="1"/>
        <s v="KAB. TEMANGGUNG" u="1"/>
        <s v="KAB. TANA TIDUNG" u="1"/>
        <s v="KAB. TASIKMALAYA" u="1"/>
        <s v="KAB. GOWA" u="1"/>
        <s v="KAB. HALMAHERA TENGAH" u="1"/>
        <s v="KAB. HULU SUNGAI TENGAH" u="1"/>
        <s v="KAB. BANTAENG" u="1"/>
        <s v="KAB. AGAM" u="1"/>
        <s v="KAB. JAYAPURA" u="1"/>
        <s v="KAB. SAMOSIR" u="1"/>
        <s v="KAB. ACEH SELATAN" u="1"/>
        <s v="KAB. SUPIORI" u="1"/>
        <s v="KOTA KEDIRI" u="1"/>
        <s v="KAB. BANGKA TENGAH" u="1"/>
        <s v="KOTA BATU" u="1"/>
        <s v="KAB. MAMBERAMO RAYA" u="1"/>
        <s v="KOTA ADM. JAKARTA PUSAT" u="1"/>
        <s v="KAB. BANYUASIN" u="1"/>
        <s v="KAB. BELITUNG TIMUR" u="1"/>
        <s v="KAB. MALUKU TENGGARA" u="1"/>
        <s v="KAB. SORONG" u="1"/>
        <s v="KAB. SERAM BAGIAN BARAT" u="1"/>
        <s v="KOTA LANGSA" u="1"/>
        <s v="KAB. SABU RAIJUA" u="1"/>
        <s v="KOTA PONTIANAK" u="1"/>
        <s v="KAB. TAKALAR" u="1"/>
        <s v="KAB. KAMPAR" u="1"/>
        <s v="KAB. KUDUS" u="1"/>
        <s v="KAB. MAMUJU" u="1"/>
        <s v="KAB. BANGKA BARAT" u="1"/>
        <s v="KOTA DENPASAR" u="1"/>
        <s v="KAB. REJANG LEBONG" u="1"/>
        <s v="KAB. MOROWALI" u="1"/>
        <s v="KAB. SUKOHARJO" u="1"/>
        <s v="KAB. LABUHANBATU SELATAN" u="1"/>
        <s v="KOTA BITUNG" u="1"/>
        <s v="KAB. TRENGGALEK" u="1"/>
        <s v="KOTA CIREBON" u="1"/>
        <s v="KAB. PADANG PARIAMAN" u="1"/>
        <s v="KAB. PASAMAN" u="1"/>
        <s v="KOTA BANDUNG" u="1"/>
        <s v="KAB. REMBANG" u="1"/>
        <s v="KAB. SITUBONDO" u="1"/>
        <s v="KAB. PANGANDARAN" u="1"/>
        <s v="KAB. ACEH BARAT DAYA" u="1"/>
        <s v="KAB. ASMAT" u="1"/>
        <s v="KAB. RAJA AMPAT" u="1"/>
        <s v="KAB. JEMBER" u="1"/>
        <s v="KOTA METRO" u="1"/>
        <s v="KAB. KARO" u="1"/>
        <s v="KAB. PEMALANG" u="1"/>
        <s v="KAB. SEKADAU" u="1"/>
        <s v="KAB. KONAWE UTARA" u="1"/>
        <s v="KAB. ALOR" u="1"/>
        <s v="KOTA TARAKAN" u="1"/>
        <s v="KAB. NGADA" u="1"/>
        <s v="KAB. TELUK WONDAMA" u="1"/>
        <s v="KAB. KUTAI BARAT" u="1"/>
        <s v="KAB. KUANTAN SINGINGI" u="1"/>
        <s v="KOTA KENDARI" u="1"/>
        <s v="KAB. NGANJUK" u="1"/>
        <s v="KOTA TASIKMALAYA" u="1"/>
        <s v="KAB. KARANGANYAR" u="1"/>
        <s v="KAB. LUWU" u="1"/>
        <s v="KAB. BANJARNEGARA" u="1"/>
        <s v="KOTA JAYAPURA" u="1"/>
        <s v="KAB. PURWAKARTA" u="1"/>
        <s v="KAB. BONE" u="1"/>
        <s v="KOTA TANJUNG BALAI" u="1"/>
        <s v="KAB. MALUKU TENGAH" u="1"/>
        <s v="KAB. SERAM BAGIAN TIMUR" u="1"/>
        <s v="KAB. MELAWI" u="1"/>
        <s v="KOTA SORONG" u="1"/>
        <s v="KAB. LAHAT" u="1"/>
        <s v="KAB. SAROLANGUN" u="1"/>
        <s v="KAB. MAMUJU TENGAH" u="1"/>
        <s v="KAB. SOPPENG" u="1"/>
        <s v="KAB. KEPULAUAN TALAUD" u="1"/>
        <s v="KAB. TEGAL" u="1"/>
        <s v="KAB. ENREKANG" u="1"/>
        <s v="KAB. BIREUEN" u="1"/>
        <s v="KAB. SIGI" u="1"/>
        <s v="KOTA PADANG PANJANG" u="1"/>
        <s v="KAB. ASAHAN" u="1"/>
        <s v="KAB. PONOROGO" u="1"/>
        <s v="KAB. CIAMIS" u="1"/>
        <s v="KAB. JOMBANG" u="1"/>
        <s v="KAB. LABUHANBATU UTARA" u="1"/>
        <s v="KAB. KERINCI" u="1"/>
        <s v="KAB. NAGAN RAYA" u="1"/>
        <s v="KOTA BATAM" u="1"/>
        <s v="KAB. KEBUMEN" u="1"/>
        <s v="KAB. SUMBAWA BARAT" u="1"/>
        <s v="KAB. TANAH LAUT" u="1"/>
        <s v="KOTA SURABAYA" u="1"/>
        <s v="KAB. GAYO LUES" u="1"/>
        <s v="KAB. ACEH TENGGARA" u="1"/>
        <s v="KAB. LUMAJANG" u="1"/>
        <s v="KOTA SURAKARTA" u="1"/>
        <s v="KAB. LINGGA" u="1"/>
        <s v="KAB. BANGKA" u="1"/>
        <s v="KAB. ACEH SINGKIL" u="1"/>
        <s v="KAB. PACITAN" u="1"/>
        <s v="KAB. TULANG BAWANG" u="1"/>
        <s v="KAB. SINTANG" u="1"/>
        <s v="KAB. PUNCAK" u="1"/>
        <s v="KAB. BANGLI" u="1"/>
        <s v="KAB. FLORES TIMUR" u="1"/>
        <s v="KAB. MAHAKAM ULU" u="1"/>
        <s v="KOTA SALATIGA" u="1"/>
        <s v="KAB. YAHUKIMO" u="1"/>
        <s v="KAB. KUBU RAYA" u="1"/>
        <s v="KAB. LANDAK" u="1"/>
        <s v="KAB. KAPUAS HULU" u="1"/>
        <s v="KAB. MAMASA" u="1"/>
        <s v="KAB. SERDANG BEDAGAI" u="1"/>
        <s v="KAB. ACEH BARAT" u="1"/>
        <s v="KOTA TEGAL" u="1"/>
        <s v="KOTA BENGKULU" u="1"/>
        <s v="KAB. GIANYAR" u="1"/>
        <s v="KAB. LAMPUNG TIMUR" u="1"/>
        <s v="KAB. LAMPUNG SELATAN" u="1"/>
        <s v="KAB. PELALAWAN" u="1"/>
        <s v="KAB. BANGKA SELATAN" u="1"/>
        <s v="KOTA PALOPO" u="1"/>
        <s v="KAB. MAJENE" u="1"/>
        <s v="KAB. BARITO KUALA" u="1"/>
        <s v="KOTA PEKANBARU" u="1"/>
        <s v="KOTA SAMARINDA" u="1"/>
        <s v="KAB. KONAWE SELATAN" u="1"/>
        <s v="KAB. MALANG" u="1"/>
        <s v="KAB. LAMPUNG TENGAH" u="1"/>
        <s v="KAB. MAMBERAMO TENGAH" u="1"/>
        <s v="KAB. SORONG SELATAN" u="1"/>
        <s v="KAB. KOLAKA UTARA" u="1"/>
        <s v="KAB. TANJUNG JABUNG BARAT" u="1"/>
        <s v="KAB. MALINAU" u="1"/>
        <s v="KAB. LOMBOK UTARA" u="1"/>
        <s v="KAB. KONAWE" u="1"/>
        <s v="KAB. BOYOLALI" u="1"/>
        <s v="KAB. BANGKALAN" u="1"/>
        <s v="KAB. TORAJA UTARA" u="1"/>
        <s v="KAB. LIMA PULUH KOTA" u="1"/>
        <s v="KAB. MALAKA" u="1"/>
        <s v="KAB. MINAHASA UTARA" u="1"/>
        <s v="KAB. NABIRE" u="1"/>
        <s v="KAB. MALUKU TENGGARA BARAT" u="1"/>
        <s v="KOTA GUNUNGSITOLI" u="1"/>
        <s v="KAB. BULELENG" u="1"/>
        <s v="KOTA SUBULUSSALAM" u="1"/>
        <s v="KAB. KEP. SIAU TAGULANDANG BIARO" u="1"/>
        <s v="KOTA PADANG" u="1"/>
        <s v="KAB. MERAUKE" u="1"/>
        <s v="KAB. LAMONGAN" u="1"/>
        <s v="KAB. PUNCAK JAYA" u="1"/>
        <s v="KAB. KEPULAUAN ARU" u="1"/>
        <s v="KOTA BUKITTINGGI" u="1"/>
        <s v="KAB. PENUKAL ABAB LEMATANG ILIR" u="1"/>
        <s v="KAB. BULUKUMBA" u="1"/>
        <s v="KAB. KEPULAUAN MERANTI" u="1"/>
        <s v="KAB. LUWU TIMUR" u="1"/>
        <s v="KAB. BUTON SELATAN" u="1"/>
        <s v="KAB. BELITUNG" u="1"/>
        <s v="KAB. PANIAI" u="1"/>
        <s v="KAB. KOLAKA" u="1"/>
        <s v="KAB. ACEH TIMUR" u="1"/>
        <s v="KOTA TOMOHON" u="1"/>
        <s v="KOTA MALANG" u="1"/>
        <s v="KOTA PANGKAL PINANG" u="1"/>
        <s v="KAB. MAGELANG" u="1"/>
        <s v="KAB. HALMAHERA UTARA" u="1"/>
        <s v="KAB. PIDIE JAYA" u="1"/>
        <s v="KAB. SIMEULUE" u="1"/>
        <s v="KOTA LHOKSEUMAWE" u="1"/>
        <s v="KAB. TULUNGAGUNG" u="1"/>
        <s v="KAB. PIDIE" u="1"/>
        <s v="KAB. BARRU" u="1"/>
        <s v="KAB. BATANG" u="1"/>
        <s v="KAB. KLATEN" u="1"/>
        <s v="KAB. KAUR" u="1"/>
        <s v="KAB. KARANGASEM" u="1"/>
        <s v="KOTA PAYAKUMBUH" u="1"/>
        <s v="KAB. KEPAHIANG" u="1"/>
        <s v="KAB. SOLOK SELATAN" u="1"/>
        <s v="KAB. KEEROM" u="1"/>
        <s v="KOTA DEPOK" u="1"/>
        <s v="KAB. WAY KANAN" u="1"/>
        <s v="KAB. NIAS SELATAN" u="1"/>
        <s v="KAB. MANOKWARI SELATAN" u="1"/>
        <s v="KAB. PADANG LAWAS" u="1"/>
        <s v="KAB. FAK FAK" u="1"/>
        <s v="KAB. ACEH TENGAH" u="1"/>
        <s v="KOTA SIBOLGA" u="1"/>
        <s v="KAB. LEMBATA" u="1"/>
        <s v="KAB. TANGGAMUS" u="1"/>
        <s v="KAB. BOLAANG MONGONDOW" u="1"/>
        <s v="KAB. BATANGHARI" u="1"/>
        <s v="KAB. TANAH BUMBU" u="1"/>
        <s v="KAB. LABUHANBATU" u="1"/>
        <s v="KAB. TELUK BINTUNI" u="1"/>
        <s v="KAB. BATU BARA" u="1"/>
        <s v="KAB. SLEMAN" u="1"/>
        <s v="KAB. TABALONG" u="1"/>
        <s v="KAB. MESUJI" u="1"/>
        <s v="KAB. SIKKA" u="1"/>
        <s v="KAB. SANGGAU" u="1"/>
        <s v="KAB. TOLIKARA" u="1"/>
        <s v="KAB. SUMBA TIMUR" u="1"/>
        <s v="KAB. PEGUNUNGAN BINTANG" u="1"/>
        <s v="KAB. BUOL" u="1"/>
        <s v="KAB. TANAH DATAR" u="1"/>
        <s v="KOTA MAGELANG" u="1"/>
        <s v="KAB. MUNA" u="1"/>
        <s v="KAB. TIMOR TENGAH SELATAN" u="1"/>
        <s v="KOTA PALU" u="1"/>
        <s v="KOTA ADM. JAKARTA BARAT" u="1"/>
        <s v="KAB. HALMAHERA TIMUR" u="1"/>
        <s v="KAB. BOLAANG MONGONDOW UTARA" u="1"/>
        <s v="KOTA BANJARMASIN" u="1"/>
        <s v="KAB. TOBA SAMOSIR" u="1"/>
        <s v="KAB. INDRAGIRI HILIR" u="1"/>
        <s v="KAB. SOLOK" u="1"/>
        <s v="KAB. BURU SELATAN" u="1"/>
        <s v="KAB. MUSI RAWAS" u="1"/>
        <s v="KAB. NDUGA" u="1"/>
        <s v="KAB. PAHUWATO" u="1"/>
        <s v="KAB. NIAS UTARA" u="1"/>
        <s v="KAB. ROKAN HILIR" u="1"/>
        <s v="KAB. PULAU TALIABU" u="1"/>
        <s v="KOTA TUAL" u="1"/>
        <s v="KAB. YALIMO" u="1"/>
        <s v="KAB. MUSI RAWAS UTARA" u="1"/>
        <s v="KAB. NUNUKAN" u="1"/>
        <s v="KAB. SEMARANG" u="1"/>
        <s v="KAB. BOMBANA" u="1"/>
        <s v="KOTA BAU BAU" u="1"/>
        <s v="KAB. JAYAWIJAYA" u="1"/>
        <s v="KAB. BELU" u="1"/>
        <s v="KAB. BANTUL" u="1"/>
        <s v="KAB. PRINGSEWU" u="1"/>
        <s v="KAB. WAJO" u="1"/>
        <s v="KAB. TIMOR TENGAH UTARA" u="1"/>
        <s v="KAB. BENER MERIAH" u="1"/>
        <s v="KAB. PATI" u="1"/>
        <s v="KAB. SIMALUNGUN" u="1"/>
        <s v="KAB. SIDENRENG RAPPANG" u="1"/>
        <s v="KAB. MAJALENGKA" u="1"/>
        <s v="KAB. MUSI BANYUASIN" u="1"/>
        <s v="KOTA LUBUK LINGGAU" u="1"/>
        <s v="KAB. TULANG BAWANG BARAT" u="1"/>
        <s v="KAB. MINAHASA SELATAN" u="1"/>
        <s v="KAB. BENGKAYANG" u="1"/>
        <s v="KOTA ADM. JAKARTA TIMUR" u="1"/>
        <s v="KAB. TEBO" u="1"/>
        <s v="KAB. PEKALONGAN" u="1"/>
        <s v="KAB. PENAJAM PASER UTARA" u="1"/>
        <s v="KAB. BANJAR" u="1"/>
        <s v="KAB. INDRAMAYU" u="1"/>
        <s v="KAB. KOLAKA TIMUR" u="1"/>
        <s v="KOTA SOLOK" u="1"/>
        <s v="KAB. BLORA" u="1"/>
        <s v="KAB. MUNA BARAT" u="1"/>
        <s v="KAB. LOMBOK TIMUR" u="1"/>
        <s v="KAB. KEPULAUAN SULA" u="1"/>
        <s v="KAB. BANGGAI" u="1"/>
        <s v="KAB. BLITAR" u="1"/>
        <s v="KAB. JENEPONTO" u="1"/>
        <s v="KOTA TANGERANG SELATAN" u="1"/>
        <s v="KOTA MATARAM" u="1"/>
        <s v="KOTA MAKASSAR" u="1"/>
        <s v="KOTA SEMARANG" u="1"/>
        <s v="KAB. GORONTALO" u="1"/>
        <s v="KAB. INTAN JAYA" u="1"/>
        <s v="KAB. PASAMAN BARAT" u="1"/>
        <s v="KAB. NGAWI" u="1"/>
        <s v="KAB. ADM. KEPULAUAN SERIBU" u="1"/>
        <s v="KAB. BUTON" u="1"/>
        <s v="KAB. GRESIK" u="1"/>
        <s v="KAB. BULUNGAN" u="1"/>
        <s v="KOTA MEDAN" u="1"/>
        <s v="KOTA PAGAR ALAM" u="1"/>
        <s v="KAB. BOVEN DIGOEL" u="1"/>
        <s v="KAB. TOJO UNA UNA" u="1"/>
        <s v="KAB. SAMBAS" u="1"/>
        <s v="KOTA BINJAI" u="1"/>
        <s v="KOTA SAWAHLUNTO" u="1"/>
        <s v="KAB. KUPANG" u="1"/>
        <s v="KAB. LEBONG" u="1"/>
        <s v="KAB. BANDUNG BARAT" u="1"/>
        <s v="KAB. LAMPUNG BARAT" u="1"/>
        <s v="KAB. HALMAHERA BARAT" u="1"/>
        <s v="KAB. BANGGAI KEPULAUAN" u="1"/>
        <s v="KOTA PEKALONGAN" u="1"/>
        <s v="KAB. MANDAILING NATAL" u="1"/>
        <s v="KAB. PURWOREJO" u="1"/>
        <s v="KAB. SUMENEP" u="1"/>
        <s v="KAB. CIANJUR" u="1"/>
        <s v="KOTA BANJAR" u="1"/>
        <s v="KOTA TERNATE" u="1"/>
        <s v="KAB. GROBOGAN" u="1"/>
        <s v="KAB. SERANG" u="1"/>
        <s v="KOTA PEMATANG SIANTAR" u="1"/>
        <s v="KOTA BLITAR" u="1"/>
        <s v="KAB. MINAHASA TENGGARA" u="1"/>
        <s v="KOTA CIMAHI" u="1"/>
        <s v="KOTA CILEGON" u="1"/>
        <s v="KOTA ADM. JAKARTA UTARA" u="1"/>
        <s v="KAB. DEIYAI" u="1"/>
        <s v="KAB. MIMIKA" u="1"/>
        <s v="KAB. BENGKALIS" u="1"/>
        <s v="KAB. SUBANG" u="1"/>
        <s v="KAB. TOLI TOLI" u="1"/>
        <s v="KAB. KEPULAUAN MENTAWAI" u="1"/>
        <s v="KAB. NIAS" u="1"/>
        <s v="KOTA GORONTALO" u="1"/>
        <s v="KAB. KOTABARU" u="1"/>
        <s v="KAB. MOJOKERTO" u="1"/>
        <s v="KAB. ACEH TAMIANG" u="1"/>
        <s v="KAB. NAGEKEO" u="1"/>
        <s v="KAB. DELI SERDANG" u="1"/>
        <s v="KAB. OGAN KOMERING ULU TIMUR" u="1"/>
        <s v="KAB. POSO" u="1"/>
        <s v="KOTA SUNGAI PENUH" u="1"/>
        <s v="KAB. PESISIR SELATAN" u="1"/>
        <s v="KAB. KULON PROGO" u="1"/>
        <s v="KOTA ADM. JAKARTA SELATAN" u="1"/>
        <s v="KAB. HALMAHERA SELATAN" u="1"/>
        <s v="KAB. BOGOR" u="1"/>
        <s v="KOTA KUPANG" u="1"/>
        <s v="KAB. PINRANG" u="1"/>
        <s v="KOTA SABANG" u="1"/>
        <s v="KAB. SIDOARJO" u="1"/>
        <s v="KOTA PALEMBANG" u="1"/>
        <s v="KOTA MANADO" u="1"/>
        <s v="KAB. KLUNGKUNG" u="1"/>
        <s v="KOTA PARE PARE" u="1"/>
        <s v="KOTA KOTAMOBAGU" u="1"/>
        <s v="KAB. BREBES" u="1"/>
        <s v="KAB. CILACAP" u="1"/>
        <s v="KAB. SUMBA TENGAH" u="1"/>
        <s v="KAB. KAYONG UTARA" u="1"/>
        <s v="KAB. OGAN KOMERING ILIR" u="1"/>
        <s v="KAB. DEMAK" u="1"/>
        <s v="KOTA SERANG" u="1"/>
        <s v="KAB. MANGGARAI" u="1"/>
        <s v="KAB. MAYBRAT" u="1"/>
        <s v="KAB. BONDOWOSO" u="1"/>
        <s v="KAB. KUTAI TIMUR" u="1"/>
        <s v="KAB. OGAN ILIR" u="1"/>
        <s v="KOTA SINGKAWANG" u="1"/>
        <s v="KAB. JEMBRANA" u="1"/>
        <s v="KOTA MOJOKERTO" u="1"/>
        <s v="KAB. SUKABUMI" u="1"/>
        <s v="KAB. BENGKULU TENGAH" u="1"/>
        <s v="KOTA TEBING TINGGI" u="1"/>
        <s v="KAB. MAROS" u="1"/>
        <s v="KAB. PURBALINGGA" u="1"/>
        <s v="KAB. BENGKULU UTARA" u="1"/>
        <s v="KAB. MERANGIN" u="1"/>
        <s v="KAB. NIAS BARAT" u="1"/>
        <s v="KAB. MUARO JAMBI" u="1"/>
        <s v="KAB. BOALEMO" u="1"/>
        <s v="KAB. BEKASI" u="1"/>
        <s v="KOTA BOGOR" u="1"/>
        <s v="KOTA PARIAMAN" u="1"/>
        <s v="KAB. ROTE NDAO" u="1"/>
        <s v="KAB. BENGKULU SELATAN" u="1"/>
        <s v="KAB. KUNINGAN" u="1"/>
        <s v="kOTA PRABUMULIH" u="1"/>
        <s v="KAB. DHARMASRAYA" u="1"/>
        <s v="KAB. KENDAL" u="1"/>
        <s v="KAB. PAKPAK BHARAT" u="1"/>
        <s v="KAB. BOLAANG MONGONDOW TIMUR" u="1"/>
        <s v="KAB. MEMPAWAH" u="1"/>
        <s v="KAB. TANA TORAJA" u="1"/>
        <s v="KAB. BONE BOLANGO" u="1"/>
        <s v="KAB. KARAWANG" u="1"/>
        <s v="KAB. INDRAGIRI HULU" u="1"/>
        <s v="KAB. PARIGI MOUTONG" u="1"/>
        <s v="KAB. GUNUNGKIDUL" u="1"/>
        <s v="KOTA TANJUNG PINANG" u="1"/>
        <s v="KAB. PANDEGLANG" u="1"/>
        <s v="KOTA JAMBI" u="1"/>
        <s v="KAB. KEPULAUAN SELAYAR" u="1"/>
        <s v="KAB. SARMI" u="1"/>
        <s v="KOTA BANDA ACEH" u="1"/>
        <s v="KAB. HULU SUNGAI UTARA" u="1"/>
        <s v="KAB. LANGKAT" u="1"/>
        <s v="KAB. MANGGARAI TIMUR" u="1"/>
        <s v="KAB. MAPPI" u="1"/>
        <s v="KAB. ACEH BESAR" u="1"/>
        <s v="KOTA SUKABUMI" u="1"/>
        <s v="KAB. WONOGIRI" u="1"/>
        <s v="KAB. MUKO MUKO" u="1"/>
        <s v="KOTA BEKASI" u="1"/>
        <s v="KAB. KEPULAUAN ANAMBAS" u="1"/>
        <s v="KOTA DUMAI" u="1"/>
        <s v="KAB. SUMBA BARAT" u="1"/>
        <s v="KAB. BINTAN" u="1"/>
        <s v="KAB. MALUKU BARAT DAYA" u="1"/>
        <s v="KAB. SUMBA BARAT DAYA" u="1"/>
        <s v="KAB. TUBAN" u="1"/>
        <s v="KAB. SELUMA" u="1"/>
        <s v="KAB. LANNY JAYA" u="1"/>
        <s v="KAB. SIAK" u="1"/>
        <s v="KAB. PASURUAN" u="1"/>
        <s v="KAB. MUARA ENIM" u="1"/>
        <s v="KAB. MANOKWARI" u="1"/>
        <s v="KAB. BERAU" u="1"/>
        <s v="KAB. PROBOLINGGO" u="1"/>
        <s v="KAB. SUMEDANG" u="1"/>
        <s v="KAB. OGAN KOMERING ULU SELATAN" u="1"/>
        <s v="KAB. MAGETAN" u="1"/>
        <s v="KAB. BOLAANG MONGONDOW SELATAN" u="1"/>
        <s v="KAB. TAMBRAUW" u="1"/>
        <s v="KAB. WAROPEN" u="1"/>
        <s v="KAB. BIAK NUMFOR" u="1"/>
        <s v="KAB. NATUNA" u="1"/>
        <s v="KAB. SINJAI" u="1"/>
        <s v="KAB. DOGIYAI" u="1"/>
        <s v="KAB. BUTON TENGAH" u="1"/>
      </sharedItems>
    </cacheField>
    <cacheField name="Jenis Budidaya" numFmtId="0">
      <sharedItems count="4">
        <s v="Ikan Hias Air Laut"/>
        <s v="Ikan Hias Air Tawar"/>
        <s v="Pembenihan Air Tawar" u="1"/>
        <s v="Pembenihan Air Laut" u="1"/>
      </sharedItems>
    </cacheField>
    <cacheField name="Jumlah_RTP" numFmtId="165">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9">
  <r>
    <x v="0"/>
    <x v="0"/>
    <n v="0"/>
    <n v="0"/>
    <n v="0"/>
    <n v="0"/>
    <n v="0"/>
    <n v="0"/>
    <n v="0"/>
    <n v="0"/>
    <n v="0"/>
    <n v="0"/>
    <n v="0"/>
    <n v="0"/>
    <n v="0"/>
    <n v="0"/>
    <n v="0"/>
  </r>
  <r>
    <x v="0"/>
    <x v="1"/>
    <n v="0"/>
    <n v="0"/>
    <n v="0"/>
    <n v="0"/>
    <n v="0"/>
    <n v="0"/>
    <n v="0"/>
    <n v="0"/>
    <n v="0"/>
    <n v="0"/>
    <n v="0"/>
    <n v="0"/>
    <n v="0"/>
    <n v="0"/>
    <n v="0"/>
  </r>
  <r>
    <x v="0"/>
    <x v="2"/>
    <n v="0"/>
    <n v="0"/>
    <n v="0"/>
    <n v="0"/>
    <n v="0"/>
    <n v="0"/>
    <n v="0"/>
    <n v="0"/>
    <n v="0"/>
    <n v="0"/>
    <n v="0"/>
    <n v="0"/>
    <n v="0"/>
    <n v="0"/>
    <n v="0"/>
  </r>
  <r>
    <x v="0"/>
    <x v="3"/>
    <n v="0"/>
    <n v="0"/>
    <n v="0"/>
    <n v="0"/>
    <n v="0"/>
    <n v="0"/>
    <n v="0"/>
    <n v="0"/>
    <n v="0"/>
    <n v="0"/>
    <n v="0"/>
    <n v="0"/>
    <n v="0"/>
    <n v="0"/>
    <n v="0"/>
  </r>
  <r>
    <x v="0"/>
    <x v="4"/>
    <n v="0"/>
    <n v="0"/>
    <n v="0"/>
    <n v="0"/>
    <n v="0"/>
    <n v="0"/>
    <n v="0"/>
    <n v="0"/>
    <n v="0"/>
    <n v="0"/>
    <n v="0"/>
    <n v="0"/>
    <n v="0"/>
    <n v="0"/>
    <n v="0"/>
  </r>
  <r>
    <x v="0"/>
    <x v="5"/>
    <n v="0"/>
    <n v="0"/>
    <n v="0"/>
    <n v="0"/>
    <n v="0"/>
    <n v="0"/>
    <n v="0"/>
    <n v="0"/>
    <n v="0"/>
    <n v="0"/>
    <n v="0"/>
    <n v="0"/>
    <n v="0"/>
    <n v="0"/>
    <n v="0"/>
  </r>
  <r>
    <x v="0"/>
    <x v="6"/>
    <n v="0"/>
    <n v="0"/>
    <n v="0"/>
    <n v="0"/>
    <n v="0"/>
    <n v="0"/>
    <n v="0"/>
    <n v="0"/>
    <n v="0"/>
    <n v="0"/>
    <n v="0"/>
    <n v="0"/>
    <n v="0"/>
    <n v="0"/>
    <n v="0"/>
  </r>
  <r>
    <x v="0"/>
    <x v="7"/>
    <n v="0"/>
    <n v="0"/>
    <n v="0"/>
    <n v="0"/>
    <n v="0"/>
    <n v="0"/>
    <n v="0"/>
    <n v="0"/>
    <n v="0"/>
    <n v="0"/>
    <n v="0"/>
    <n v="0"/>
    <n v="0"/>
    <n v="0"/>
    <n v="0"/>
  </r>
  <r>
    <x v="0"/>
    <x v="8"/>
    <n v="0"/>
    <n v="0"/>
    <n v="0"/>
    <n v="0"/>
    <n v="0"/>
    <n v="0"/>
    <n v="0"/>
    <n v="0"/>
    <n v="0"/>
    <n v="0"/>
    <n v="0"/>
    <n v="0"/>
    <n v="0"/>
    <n v="0"/>
    <n v="0"/>
  </r>
  <r>
    <x v="0"/>
    <x v="9"/>
    <n v="0"/>
    <n v="0"/>
    <n v="0"/>
    <n v="0"/>
    <n v="0"/>
    <n v="0"/>
    <n v="0"/>
    <n v="0"/>
    <n v="0"/>
    <n v="0"/>
    <n v="0"/>
    <n v="0"/>
    <n v="0"/>
    <n v="0"/>
    <n v="0"/>
  </r>
  <r>
    <x v="0"/>
    <x v="10"/>
    <n v="0"/>
    <n v="0"/>
    <n v="0"/>
    <n v="0"/>
    <n v="0"/>
    <n v="0"/>
    <n v="0"/>
    <n v="0"/>
    <n v="0"/>
    <n v="0"/>
    <n v="0"/>
    <n v="0"/>
    <n v="0"/>
    <n v="0"/>
    <n v="0"/>
  </r>
  <r>
    <x v="0"/>
    <x v="11"/>
    <n v="0"/>
    <n v="0"/>
    <n v="0"/>
    <n v="0"/>
    <n v="0"/>
    <n v="0"/>
    <n v="0"/>
    <n v="0"/>
    <n v="0"/>
    <n v="0"/>
    <n v="0"/>
    <n v="0"/>
    <n v="0"/>
    <n v="0"/>
    <n v="0"/>
  </r>
  <r>
    <x v="0"/>
    <x v="12"/>
    <n v="0"/>
    <n v="0"/>
    <n v="0"/>
    <n v="0"/>
    <n v="0"/>
    <n v="0"/>
    <n v="0"/>
    <n v="0"/>
    <n v="0"/>
    <n v="0"/>
    <n v="0"/>
    <n v="0"/>
    <n v="0"/>
    <n v="0"/>
    <n v="0"/>
  </r>
  <r>
    <x v="0"/>
    <x v="13"/>
    <n v="0"/>
    <n v="0"/>
    <n v="0"/>
    <n v="0"/>
    <n v="0"/>
    <n v="0"/>
    <n v="0"/>
    <n v="0"/>
    <n v="0"/>
    <n v="0"/>
    <n v="0"/>
    <n v="0"/>
    <n v="0"/>
    <n v="0"/>
    <n v="0"/>
  </r>
  <r>
    <x v="0"/>
    <x v="14"/>
    <n v="0"/>
    <n v="0"/>
    <n v="0"/>
    <n v="0"/>
    <n v="0"/>
    <n v="0"/>
    <n v="0"/>
    <n v="0"/>
    <n v="0"/>
    <n v="0"/>
    <n v="0"/>
    <n v="0"/>
    <n v="0"/>
    <n v="0"/>
    <n v="0"/>
  </r>
  <r>
    <x v="0"/>
    <x v="15"/>
    <n v="0"/>
    <n v="0"/>
    <n v="0"/>
    <n v="0"/>
    <n v="0"/>
    <n v="0"/>
    <n v="0"/>
    <n v="0"/>
    <n v="0"/>
    <n v="0"/>
    <n v="0"/>
    <n v="0"/>
    <n v="0"/>
    <n v="0"/>
    <n v="0"/>
  </r>
  <r>
    <x v="0"/>
    <x v="16"/>
    <n v="0"/>
    <n v="0"/>
    <n v="0"/>
    <n v="0"/>
    <n v="0"/>
    <n v="0"/>
    <n v="0"/>
    <n v="0"/>
    <n v="0"/>
    <n v="0"/>
    <n v="0"/>
    <n v="0"/>
    <n v="0"/>
    <n v="0"/>
    <n v="0"/>
  </r>
  <r>
    <x v="0"/>
    <x v="17"/>
    <n v="0"/>
    <n v="0"/>
    <n v="0"/>
    <n v="0"/>
    <n v="0"/>
    <n v="0"/>
    <n v="0"/>
    <n v="0"/>
    <n v="0"/>
    <n v="0"/>
    <n v="0"/>
    <n v="0"/>
    <n v="0"/>
    <n v="0"/>
    <n v="0"/>
  </r>
  <r>
    <x v="0"/>
    <x v="18"/>
    <n v="0"/>
    <n v="0"/>
    <n v="0"/>
    <n v="0"/>
    <n v="0"/>
    <n v="0"/>
    <n v="0"/>
    <n v="0"/>
    <n v="0"/>
    <n v="0"/>
    <n v="0"/>
    <n v="0"/>
    <n v="0"/>
    <n v="0"/>
    <n v="0"/>
  </r>
  <r>
    <x v="0"/>
    <x v="19"/>
    <n v="0"/>
    <n v="0"/>
    <n v="0"/>
    <n v="0"/>
    <n v="0"/>
    <n v="0"/>
    <n v="0"/>
    <n v="0"/>
    <n v="0"/>
    <n v="0"/>
    <n v="0"/>
    <n v="0"/>
    <n v="0"/>
    <n v="0"/>
    <n v="0"/>
  </r>
  <r>
    <x v="0"/>
    <x v="20"/>
    <n v="0"/>
    <n v="0"/>
    <n v="0"/>
    <n v="0"/>
    <n v="0"/>
    <n v="0"/>
    <n v="0"/>
    <n v="0"/>
    <n v="0"/>
    <n v="0"/>
    <n v="0"/>
    <n v="0"/>
    <n v="0"/>
    <n v="0"/>
    <n v="0"/>
  </r>
  <r>
    <x v="0"/>
    <x v="21"/>
    <n v="0"/>
    <n v="0"/>
    <n v="0"/>
    <n v="0"/>
    <n v="0"/>
    <n v="0"/>
    <n v="0"/>
    <n v="0"/>
    <n v="0"/>
    <n v="0"/>
    <n v="0"/>
    <n v="0"/>
    <n v="0"/>
    <n v="0"/>
    <n v="0"/>
  </r>
  <r>
    <x v="0"/>
    <x v="22"/>
    <n v="0"/>
    <n v="0"/>
    <n v="0"/>
    <n v="0"/>
    <n v="0"/>
    <n v="0"/>
    <n v="0"/>
    <n v="0"/>
    <n v="0"/>
    <n v="0"/>
    <n v="0"/>
    <n v="0"/>
    <n v="0"/>
    <n v="0"/>
    <n v="0"/>
  </r>
  <r>
    <x v="0"/>
    <x v="23"/>
    <n v="0"/>
    <n v="0"/>
    <n v="0"/>
    <n v="0"/>
    <n v="0"/>
    <n v="0"/>
    <n v="0"/>
    <n v="0"/>
    <n v="0"/>
    <n v="0"/>
    <n v="0"/>
    <n v="0"/>
    <n v="0"/>
    <n v="0"/>
    <n v="0"/>
  </r>
  <r>
    <x v="0"/>
    <x v="24"/>
    <n v="0"/>
    <n v="0"/>
    <n v="0"/>
    <n v="0"/>
    <n v="0"/>
    <n v="0"/>
    <n v="0"/>
    <n v="0"/>
    <n v="0"/>
    <n v="0"/>
    <n v="0"/>
    <n v="0"/>
    <n v="0"/>
    <n v="0"/>
    <n v="0"/>
  </r>
  <r>
    <x v="0"/>
    <x v="25"/>
    <n v="0"/>
    <n v="0"/>
    <n v="0"/>
    <n v="0"/>
    <n v="0"/>
    <n v="0"/>
    <n v="0"/>
    <n v="0"/>
    <n v="0"/>
    <n v="0"/>
    <n v="0"/>
    <n v="0"/>
    <n v="0"/>
    <n v="0"/>
    <n v="0"/>
  </r>
  <r>
    <x v="0"/>
    <x v="26"/>
    <n v="0"/>
    <n v="0"/>
    <n v="0"/>
    <n v="0"/>
    <n v="0"/>
    <n v="0"/>
    <n v="0"/>
    <n v="0"/>
    <n v="0"/>
    <n v="0"/>
    <n v="0"/>
    <n v="0"/>
    <n v="0"/>
    <n v="0"/>
    <n v="0"/>
  </r>
  <r>
    <x v="0"/>
    <x v="27"/>
    <n v="0"/>
    <n v="0"/>
    <n v="0"/>
    <n v="0"/>
    <n v="0"/>
    <n v="0"/>
    <n v="0"/>
    <n v="0"/>
    <n v="0"/>
    <n v="0"/>
    <n v="0"/>
    <n v="0"/>
    <n v="0"/>
    <n v="0"/>
    <n v="0"/>
  </r>
  <r>
    <x v="0"/>
    <x v="28"/>
    <n v="0"/>
    <n v="0"/>
    <n v="0"/>
    <n v="0"/>
    <n v="0"/>
    <n v="0"/>
    <n v="0"/>
    <n v="0"/>
    <n v="0"/>
    <n v="0"/>
    <n v="0"/>
    <n v="0"/>
    <n v="0"/>
    <n v="0"/>
    <n v="0"/>
  </r>
  <r>
    <x v="0"/>
    <x v="29"/>
    <n v="0"/>
    <n v="0"/>
    <n v="0"/>
    <n v="0"/>
    <n v="0"/>
    <n v="0"/>
    <n v="0"/>
    <n v="0"/>
    <n v="0"/>
    <n v="0"/>
    <n v="0"/>
    <n v="0"/>
    <n v="0"/>
    <n v="0"/>
    <n v="0"/>
  </r>
  <r>
    <x v="0"/>
    <x v="30"/>
    <n v="0"/>
    <n v="0"/>
    <n v="0"/>
    <n v="0"/>
    <n v="0"/>
    <n v="0"/>
    <n v="0"/>
    <n v="0"/>
    <n v="0"/>
    <n v="0"/>
    <n v="0"/>
    <n v="0"/>
    <n v="0"/>
    <n v="0"/>
    <n v="0"/>
  </r>
  <r>
    <x v="0"/>
    <x v="31"/>
    <n v="0"/>
    <n v="0"/>
    <n v="0"/>
    <n v="0"/>
    <n v="0"/>
    <n v="0"/>
    <n v="0"/>
    <n v="0"/>
    <n v="0"/>
    <n v="0"/>
    <n v="0"/>
    <n v="0"/>
    <n v="0"/>
    <n v="0"/>
    <n v="0"/>
  </r>
  <r>
    <x v="0"/>
    <x v="32"/>
    <n v="0"/>
    <n v="0"/>
    <n v="0"/>
    <n v="0"/>
    <n v="0"/>
    <n v="0"/>
    <n v="0"/>
    <n v="0"/>
    <n v="0"/>
    <n v="0"/>
    <n v="0"/>
    <n v="0"/>
    <n v="0"/>
    <n v="0"/>
    <n v="0"/>
  </r>
  <r>
    <x v="0"/>
    <x v="33"/>
    <n v="0"/>
    <n v="0"/>
    <n v="0"/>
    <n v="0"/>
    <n v="0"/>
    <n v="0"/>
    <n v="0"/>
    <n v="0"/>
    <n v="0"/>
    <n v="0"/>
    <n v="0"/>
    <n v="0"/>
    <n v="0"/>
    <n v="0"/>
    <n v="0"/>
  </r>
  <r>
    <x v="0"/>
    <x v="34"/>
    <n v="0"/>
    <n v="0"/>
    <n v="0"/>
    <n v="0"/>
    <n v="0"/>
    <n v="0"/>
    <n v="0"/>
    <n v="0"/>
    <n v="0"/>
    <n v="0"/>
    <n v="0"/>
    <n v="0"/>
    <n v="0"/>
    <n v="0"/>
    <n v="0"/>
  </r>
  <r>
    <x v="0"/>
    <x v="35"/>
    <n v="0"/>
    <n v="0"/>
    <n v="0"/>
    <n v="0"/>
    <n v="0"/>
    <n v="0"/>
    <n v="0"/>
    <n v="0"/>
    <n v="0"/>
    <n v="0"/>
    <n v="0"/>
    <n v="0"/>
    <n v="0"/>
    <n v="0"/>
    <n v="0"/>
  </r>
  <r>
    <x v="0"/>
    <x v="36"/>
    <n v="0"/>
    <n v="0"/>
    <n v="0"/>
    <n v="0"/>
    <n v="0"/>
    <n v="0"/>
    <n v="0"/>
    <n v="0"/>
    <n v="0"/>
    <n v="0"/>
    <n v="0"/>
    <n v="0"/>
    <n v="0"/>
    <n v="0"/>
    <n v="0"/>
  </r>
  <r>
    <x v="0"/>
    <x v="37"/>
    <n v="0"/>
    <n v="0"/>
    <n v="0"/>
    <n v="0"/>
    <n v="0"/>
    <n v="0"/>
    <n v="0"/>
    <n v="0"/>
    <n v="0"/>
    <n v="0"/>
    <n v="0"/>
    <n v="0"/>
    <n v="0"/>
    <n v="0"/>
    <n v="0"/>
  </r>
  <r>
    <x v="0"/>
    <x v="38"/>
    <n v="0"/>
    <n v="0"/>
    <n v="0"/>
    <n v="0"/>
    <n v="0"/>
    <n v="0"/>
    <n v="0"/>
    <n v="0"/>
    <n v="0"/>
    <n v="0"/>
    <n v="0"/>
    <n v="0"/>
    <n v="0"/>
    <n v="0"/>
    <n v="0"/>
  </r>
  <r>
    <x v="0"/>
    <x v="39"/>
    <n v="0"/>
    <n v="0"/>
    <n v="0"/>
    <n v="0"/>
    <n v="0"/>
    <n v="0"/>
    <n v="0"/>
    <n v="0"/>
    <n v="0"/>
    <n v="0"/>
    <n v="0"/>
    <n v="0"/>
    <n v="0"/>
    <n v="0"/>
    <n v="0"/>
  </r>
  <r>
    <x v="0"/>
    <x v="40"/>
    <n v="0"/>
    <n v="0"/>
    <n v="0"/>
    <n v="0"/>
    <n v="0"/>
    <n v="0"/>
    <n v="0"/>
    <n v="0"/>
    <n v="0"/>
    <n v="0"/>
    <n v="0"/>
    <n v="0"/>
    <n v="0"/>
    <n v="0"/>
    <n v="0"/>
  </r>
  <r>
    <x v="0"/>
    <x v="41"/>
    <n v="0"/>
    <n v="0"/>
    <n v="0"/>
    <n v="0"/>
    <n v="0"/>
    <n v="0"/>
    <n v="0"/>
    <n v="0"/>
    <n v="0"/>
    <n v="0"/>
    <n v="0"/>
    <n v="0"/>
    <n v="0"/>
    <n v="0"/>
    <n v="0"/>
  </r>
  <r>
    <x v="0"/>
    <x v="42"/>
    <n v="0"/>
    <n v="0"/>
    <n v="0"/>
    <n v="0"/>
    <n v="0"/>
    <n v="0"/>
    <n v="0"/>
    <n v="0"/>
    <n v="0"/>
    <n v="0"/>
    <n v="0"/>
    <n v="0"/>
    <n v="0"/>
    <n v="0"/>
    <n v="0"/>
  </r>
  <r>
    <x v="0"/>
    <x v="43"/>
    <n v="0"/>
    <n v="0"/>
    <n v="0"/>
    <n v="0"/>
    <n v="0"/>
    <n v="0"/>
    <n v="0"/>
    <n v="0"/>
    <n v="0"/>
    <n v="0"/>
    <n v="0"/>
    <n v="0"/>
    <n v="0"/>
    <n v="0"/>
    <n v="0"/>
  </r>
  <r>
    <x v="0"/>
    <x v="44"/>
    <n v="0"/>
    <n v="0"/>
    <n v="0"/>
    <n v="0"/>
    <n v="0"/>
    <n v="0"/>
    <n v="0"/>
    <n v="0"/>
    <n v="0"/>
    <n v="0"/>
    <n v="0"/>
    <n v="0"/>
    <n v="0"/>
    <n v="0"/>
    <n v="0"/>
  </r>
  <r>
    <x v="0"/>
    <x v="45"/>
    <n v="0"/>
    <n v="0"/>
    <n v="0"/>
    <n v="0"/>
    <n v="0"/>
    <n v="0"/>
    <n v="0"/>
    <n v="0"/>
    <n v="0"/>
    <n v="0"/>
    <n v="0"/>
    <n v="0"/>
    <n v="0"/>
    <n v="0"/>
    <n v="0"/>
  </r>
  <r>
    <x v="0"/>
    <x v="46"/>
    <n v="0"/>
    <n v="0"/>
    <n v="0"/>
    <n v="0"/>
    <n v="0"/>
    <n v="0"/>
    <n v="0"/>
    <n v="0"/>
    <n v="0"/>
    <n v="0"/>
    <n v="0"/>
    <n v="0"/>
    <n v="0"/>
    <n v="0"/>
    <n v="0"/>
  </r>
  <r>
    <x v="0"/>
    <x v="47"/>
    <n v="0"/>
    <n v="0"/>
    <n v="0"/>
    <n v="0"/>
    <n v="0"/>
    <n v="0"/>
    <n v="0"/>
    <n v="0"/>
    <n v="0"/>
    <n v="0"/>
    <n v="0"/>
    <n v="0"/>
    <n v="0"/>
    <n v="0"/>
    <n v="0"/>
  </r>
  <r>
    <x v="0"/>
    <x v="48"/>
    <n v="0"/>
    <n v="0"/>
    <n v="0"/>
    <n v="0"/>
    <n v="0"/>
    <n v="0"/>
    <n v="0"/>
    <n v="0"/>
    <n v="0"/>
    <n v="0"/>
    <n v="0"/>
    <n v="0"/>
    <n v="0"/>
    <n v="0"/>
    <n v="0"/>
  </r>
  <r>
    <x v="0"/>
    <x v="49"/>
    <n v="0"/>
    <n v="0"/>
    <n v="0"/>
    <n v="0"/>
    <n v="0"/>
    <n v="0"/>
    <n v="0"/>
    <n v="0"/>
    <n v="0"/>
    <n v="0"/>
    <n v="0"/>
    <n v="0"/>
    <n v="0"/>
    <n v="0"/>
    <n v="0"/>
  </r>
  <r>
    <x v="0"/>
    <x v="50"/>
    <n v="0"/>
    <n v="0"/>
    <n v="0"/>
    <n v="0"/>
    <n v="0"/>
    <n v="0"/>
    <n v="0"/>
    <n v="0"/>
    <n v="0"/>
    <n v="0"/>
    <n v="0"/>
    <n v="0"/>
    <n v="0"/>
    <n v="0"/>
    <n v="0"/>
  </r>
  <r>
    <x v="0"/>
    <x v="51"/>
    <n v="0"/>
    <n v="0"/>
    <n v="0"/>
    <n v="0"/>
    <n v="0"/>
    <n v="0"/>
    <n v="0"/>
    <n v="0"/>
    <n v="0"/>
    <n v="0"/>
    <n v="0"/>
    <n v="0"/>
    <n v="0"/>
    <n v="0"/>
    <n v="0"/>
  </r>
  <r>
    <x v="0"/>
    <x v="52"/>
    <n v="0"/>
    <n v="0"/>
    <n v="0"/>
    <n v="0"/>
    <n v="0"/>
    <n v="0"/>
    <n v="0"/>
    <n v="0"/>
    <n v="0"/>
    <n v="0"/>
    <n v="0"/>
    <n v="0"/>
    <n v="0"/>
    <n v="0"/>
    <n v="0"/>
  </r>
  <r>
    <x v="0"/>
    <x v="53"/>
    <n v="0"/>
    <n v="0"/>
    <n v="0"/>
    <n v="0"/>
    <n v="0"/>
    <n v="0"/>
    <n v="0"/>
    <n v="0"/>
    <n v="0"/>
    <n v="0"/>
    <n v="0"/>
    <n v="0"/>
    <n v="0"/>
    <n v="0"/>
    <n v="0"/>
  </r>
  <r>
    <x v="0"/>
    <x v="54"/>
    <n v="0"/>
    <n v="0"/>
    <n v="0"/>
    <n v="0"/>
    <n v="0"/>
    <n v="0"/>
    <n v="0"/>
    <n v="0"/>
    <n v="0"/>
    <n v="0"/>
    <n v="0"/>
    <n v="0"/>
    <n v="0"/>
    <n v="0"/>
    <n v="0"/>
  </r>
  <r>
    <x v="0"/>
    <x v="55"/>
    <n v="0"/>
    <n v="0"/>
    <n v="0"/>
    <n v="0"/>
    <n v="0"/>
    <n v="0"/>
    <n v="0"/>
    <n v="0"/>
    <n v="0"/>
    <n v="0"/>
    <n v="0"/>
    <n v="0"/>
    <n v="0"/>
    <n v="0"/>
    <n v="0"/>
  </r>
  <r>
    <x v="0"/>
    <x v="56"/>
    <n v="0"/>
    <n v="0"/>
    <n v="0"/>
    <n v="0"/>
    <n v="0"/>
    <n v="0"/>
    <n v="0"/>
    <n v="0"/>
    <n v="0"/>
    <n v="0"/>
    <n v="0"/>
    <n v="0"/>
    <n v="0"/>
    <n v="0"/>
    <n v="0"/>
  </r>
  <r>
    <x v="0"/>
    <x v="57"/>
    <n v="0"/>
    <n v="0"/>
    <n v="0"/>
    <n v="0"/>
    <n v="0"/>
    <n v="0"/>
    <n v="0"/>
    <n v="0"/>
    <n v="0"/>
    <n v="0"/>
    <n v="0"/>
    <n v="0"/>
    <n v="0"/>
    <n v="0"/>
    <n v="0"/>
  </r>
  <r>
    <x v="0"/>
    <x v="58"/>
    <n v="0"/>
    <n v="0"/>
    <n v="0"/>
    <n v="0"/>
    <n v="0"/>
    <n v="0"/>
    <n v="0"/>
    <n v="0"/>
    <n v="0"/>
    <n v="0"/>
    <n v="0"/>
    <n v="0"/>
    <n v="0"/>
    <n v="0"/>
    <n v="0"/>
  </r>
  <r>
    <x v="0"/>
    <x v="59"/>
    <n v="0"/>
    <n v="0"/>
    <n v="0"/>
    <n v="0"/>
    <n v="0"/>
    <n v="0"/>
    <n v="0"/>
    <n v="0"/>
    <n v="0"/>
    <n v="0"/>
    <n v="0"/>
    <n v="0"/>
    <n v="0"/>
    <n v="0"/>
    <n v="0"/>
  </r>
  <r>
    <x v="0"/>
    <x v="60"/>
    <n v="0"/>
    <n v="0"/>
    <n v="0"/>
    <n v="0"/>
    <n v="0"/>
    <n v="0"/>
    <n v="0"/>
    <n v="0"/>
    <n v="0"/>
    <n v="0"/>
    <n v="0"/>
    <n v="0"/>
    <n v="0"/>
    <n v="0"/>
    <n v="0"/>
  </r>
  <r>
    <x v="0"/>
    <x v="61"/>
    <n v="0"/>
    <n v="0"/>
    <n v="0"/>
    <n v="0"/>
    <n v="0"/>
    <n v="0"/>
    <n v="0"/>
    <n v="0"/>
    <n v="0"/>
    <n v="0"/>
    <n v="0"/>
    <n v="0"/>
    <n v="0"/>
    <n v="0"/>
    <n v="0"/>
  </r>
  <r>
    <x v="0"/>
    <x v="62"/>
    <n v="0"/>
    <n v="0"/>
    <n v="0"/>
    <n v="0"/>
    <n v="0"/>
    <n v="0"/>
    <n v="0"/>
    <n v="0"/>
    <n v="0"/>
    <n v="0"/>
    <n v="0"/>
    <n v="0"/>
    <n v="0"/>
    <n v="0"/>
    <n v="0"/>
  </r>
  <r>
    <x v="0"/>
    <x v="63"/>
    <n v="0"/>
    <n v="0"/>
    <n v="0"/>
    <n v="0"/>
    <n v="0"/>
    <n v="0"/>
    <n v="0"/>
    <n v="0"/>
    <n v="0"/>
    <n v="0"/>
    <n v="0"/>
    <n v="0"/>
    <n v="0"/>
    <n v="0"/>
    <n v="0"/>
  </r>
  <r>
    <x v="0"/>
    <x v="64"/>
    <n v="0"/>
    <n v="0"/>
    <n v="0"/>
    <n v="0"/>
    <n v="0"/>
    <n v="0"/>
    <n v="0"/>
    <n v="0"/>
    <n v="0"/>
    <n v="0"/>
    <n v="0"/>
    <n v="0"/>
    <n v="0"/>
    <n v="0"/>
    <n v="0"/>
  </r>
  <r>
    <x v="0"/>
    <x v="65"/>
    <n v="0"/>
    <n v="0"/>
    <n v="0"/>
    <n v="0"/>
    <n v="0"/>
    <n v="0"/>
    <n v="0"/>
    <n v="0"/>
    <n v="0"/>
    <n v="0"/>
    <n v="0"/>
    <n v="0"/>
    <n v="0"/>
    <n v="0"/>
    <n v="0"/>
  </r>
  <r>
    <x v="0"/>
    <x v="66"/>
    <n v="0"/>
    <n v="0"/>
    <n v="0"/>
    <n v="0"/>
    <n v="0"/>
    <n v="0"/>
    <n v="0"/>
    <n v="0"/>
    <n v="0"/>
    <n v="0"/>
    <n v="0"/>
    <n v="0"/>
    <n v="0"/>
    <n v="0"/>
    <n v="0"/>
  </r>
  <r>
    <x v="0"/>
    <x v="67"/>
    <n v="0"/>
    <n v="0"/>
    <n v="0"/>
    <n v="0"/>
    <n v="0"/>
    <n v="0"/>
    <n v="0"/>
    <n v="0"/>
    <n v="0"/>
    <n v="0"/>
    <n v="0"/>
    <n v="0"/>
    <n v="0"/>
    <n v="0"/>
    <n v="0"/>
  </r>
  <r>
    <x v="0"/>
    <x v="68"/>
    <n v="0"/>
    <n v="0"/>
    <n v="0"/>
    <n v="0"/>
    <n v="0"/>
    <n v="0"/>
    <n v="0"/>
    <n v="0"/>
    <n v="0"/>
    <n v="0"/>
    <n v="0"/>
    <n v="0"/>
    <n v="0"/>
    <n v="0"/>
    <n v="0"/>
  </r>
  <r>
    <x v="0"/>
    <x v="69"/>
    <n v="0"/>
    <n v="0"/>
    <n v="0"/>
    <n v="0"/>
    <n v="0"/>
    <n v="0"/>
    <n v="0"/>
    <n v="0"/>
    <n v="0"/>
    <n v="0"/>
    <n v="0"/>
    <n v="0"/>
    <n v="0"/>
    <n v="0"/>
    <n v="0"/>
  </r>
  <r>
    <x v="0"/>
    <x v="70"/>
    <n v="0"/>
    <n v="0"/>
    <n v="0"/>
    <n v="0"/>
    <n v="0"/>
    <n v="0"/>
    <n v="0"/>
    <n v="0"/>
    <n v="0"/>
    <n v="0"/>
    <n v="0"/>
    <n v="0"/>
    <n v="0"/>
    <n v="0"/>
    <n v="0"/>
  </r>
  <r>
    <x v="0"/>
    <x v="71"/>
    <n v="0"/>
    <n v="0"/>
    <n v="0"/>
    <n v="0"/>
    <n v="0"/>
    <n v="0"/>
    <n v="0"/>
    <n v="0"/>
    <n v="0"/>
    <n v="0"/>
    <n v="0"/>
    <n v="0"/>
    <n v="0"/>
    <n v="0"/>
    <n v="0"/>
  </r>
  <r>
    <x v="0"/>
    <x v="72"/>
    <n v="0"/>
    <n v="0"/>
    <n v="0"/>
    <n v="0"/>
    <n v="0"/>
    <n v="0"/>
    <n v="0"/>
    <n v="0"/>
    <n v="0"/>
    <n v="0"/>
    <n v="0"/>
    <n v="0"/>
    <n v="0"/>
    <n v="0"/>
    <n v="0"/>
  </r>
  <r>
    <x v="0"/>
    <x v="73"/>
    <n v="0"/>
    <n v="0"/>
    <n v="0"/>
    <n v="0"/>
    <n v="0"/>
    <n v="0"/>
    <n v="0"/>
    <n v="0"/>
    <n v="0"/>
    <n v="0"/>
    <n v="0"/>
    <n v="0"/>
    <n v="0"/>
    <n v="0"/>
    <n v="0"/>
  </r>
  <r>
    <x v="0"/>
    <x v="74"/>
    <n v="0"/>
    <n v="0"/>
    <n v="0"/>
    <n v="0"/>
    <n v="0"/>
    <n v="0"/>
    <n v="0"/>
    <n v="0"/>
    <n v="0"/>
    <n v="0"/>
    <n v="0"/>
    <n v="0"/>
    <n v="0"/>
    <n v="0"/>
    <n v="0"/>
  </r>
  <r>
    <x v="0"/>
    <x v="75"/>
    <n v="0"/>
    <n v="0"/>
    <n v="0"/>
    <n v="0"/>
    <n v="0"/>
    <n v="0"/>
    <n v="0"/>
    <n v="0"/>
    <n v="0"/>
    <n v="0"/>
    <n v="0"/>
    <n v="0"/>
    <n v="0"/>
    <n v="0"/>
    <n v="0"/>
  </r>
  <r>
    <x v="0"/>
    <x v="76"/>
    <n v="0"/>
    <n v="0"/>
    <n v="0"/>
    <n v="0"/>
    <n v="0"/>
    <n v="0"/>
    <n v="0"/>
    <n v="0"/>
    <n v="0"/>
    <n v="0"/>
    <n v="0"/>
    <n v="0"/>
    <n v="0"/>
    <n v="0"/>
    <n v="0"/>
  </r>
  <r>
    <x v="0"/>
    <x v="77"/>
    <n v="0"/>
    <n v="0"/>
    <n v="0"/>
    <n v="0"/>
    <n v="0"/>
    <n v="0"/>
    <n v="0"/>
    <n v="0"/>
    <n v="0"/>
    <n v="0"/>
    <n v="0"/>
    <n v="0"/>
    <n v="0"/>
    <n v="0"/>
    <n v="0"/>
  </r>
  <r>
    <x v="0"/>
    <x v="78"/>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count="79">
  <r>
    <x v="0"/>
    <x v="0"/>
    <n v="0"/>
    <n v="0"/>
    <n v="0"/>
    <n v="0"/>
    <n v="0"/>
    <n v="0"/>
    <n v="0"/>
    <n v="0"/>
    <n v="0"/>
    <n v="0"/>
    <n v="0"/>
    <n v="0"/>
    <n v="0"/>
    <n v="0"/>
    <n v="0"/>
  </r>
  <r>
    <x v="0"/>
    <x v="1"/>
    <n v="0"/>
    <n v="0"/>
    <n v="0"/>
    <n v="0"/>
    <n v="0"/>
    <n v="0"/>
    <n v="0"/>
    <n v="0"/>
    <n v="0"/>
    <n v="0"/>
    <n v="0"/>
    <n v="0"/>
    <n v="0"/>
    <n v="0"/>
    <n v="0"/>
  </r>
  <r>
    <x v="0"/>
    <x v="2"/>
    <n v="0"/>
    <n v="0"/>
    <n v="0"/>
    <n v="0"/>
    <n v="0"/>
    <n v="0"/>
    <n v="0"/>
    <n v="0"/>
    <n v="0"/>
    <n v="0"/>
    <n v="0"/>
    <n v="0"/>
    <n v="0"/>
    <n v="0"/>
    <n v="0"/>
  </r>
  <r>
    <x v="0"/>
    <x v="3"/>
    <n v="0"/>
    <n v="0"/>
    <n v="0"/>
    <n v="0"/>
    <n v="0"/>
    <n v="0"/>
    <n v="0"/>
    <n v="0"/>
    <n v="0"/>
    <n v="0"/>
    <n v="0"/>
    <n v="0"/>
    <n v="0"/>
    <n v="0"/>
    <n v="0"/>
  </r>
  <r>
    <x v="0"/>
    <x v="4"/>
    <n v="0"/>
    <n v="0"/>
    <n v="0"/>
    <n v="0"/>
    <n v="0"/>
    <n v="0"/>
    <n v="0"/>
    <n v="0"/>
    <n v="0"/>
    <n v="0"/>
    <n v="0"/>
    <n v="0"/>
    <n v="0"/>
    <n v="0"/>
    <n v="0"/>
  </r>
  <r>
    <x v="0"/>
    <x v="5"/>
    <n v="0"/>
    <n v="0"/>
    <n v="0"/>
    <n v="0"/>
    <n v="0"/>
    <n v="0"/>
    <n v="0"/>
    <n v="0"/>
    <n v="0"/>
    <n v="0"/>
    <n v="0"/>
    <n v="0"/>
    <n v="0"/>
    <n v="0"/>
    <n v="0"/>
  </r>
  <r>
    <x v="0"/>
    <x v="6"/>
    <n v="0"/>
    <n v="0"/>
    <n v="0"/>
    <n v="0"/>
    <n v="0"/>
    <n v="0"/>
    <n v="0"/>
    <n v="0"/>
    <n v="0"/>
    <n v="0"/>
    <n v="0"/>
    <n v="0"/>
    <n v="0"/>
    <n v="0"/>
    <n v="0"/>
  </r>
  <r>
    <x v="0"/>
    <x v="7"/>
    <n v="0"/>
    <n v="0"/>
    <n v="0"/>
    <n v="0"/>
    <n v="0"/>
    <n v="0"/>
    <n v="0"/>
    <n v="0"/>
    <n v="0"/>
    <n v="0"/>
    <n v="0"/>
    <n v="0"/>
    <n v="0"/>
    <n v="0"/>
    <n v="0"/>
  </r>
  <r>
    <x v="0"/>
    <x v="8"/>
    <n v="0"/>
    <n v="0"/>
    <n v="0"/>
    <n v="0"/>
    <n v="0"/>
    <n v="0"/>
    <n v="0"/>
    <n v="0"/>
    <n v="0"/>
    <n v="0"/>
    <n v="0"/>
    <n v="0"/>
    <n v="0"/>
    <n v="0"/>
    <n v="0"/>
  </r>
  <r>
    <x v="0"/>
    <x v="9"/>
    <n v="0"/>
    <n v="0"/>
    <n v="0"/>
    <n v="0"/>
    <n v="0"/>
    <n v="0"/>
    <n v="0"/>
    <n v="0"/>
    <n v="0"/>
    <n v="0"/>
    <n v="0"/>
    <n v="0"/>
    <n v="0"/>
    <n v="0"/>
    <n v="0"/>
  </r>
  <r>
    <x v="0"/>
    <x v="10"/>
    <n v="0"/>
    <n v="0"/>
    <n v="0"/>
    <n v="0"/>
    <n v="0"/>
    <n v="0"/>
    <n v="0"/>
    <n v="0"/>
    <n v="0"/>
    <n v="0"/>
    <n v="0"/>
    <n v="0"/>
    <n v="0"/>
    <n v="0"/>
    <n v="0"/>
  </r>
  <r>
    <x v="0"/>
    <x v="11"/>
    <n v="0"/>
    <n v="0"/>
    <n v="0"/>
    <n v="0"/>
    <n v="0"/>
    <n v="0"/>
    <n v="0"/>
    <n v="0"/>
    <n v="0"/>
    <n v="0"/>
    <n v="0"/>
    <n v="0"/>
    <n v="0"/>
    <n v="0"/>
    <n v="0"/>
  </r>
  <r>
    <x v="0"/>
    <x v="12"/>
    <n v="0"/>
    <n v="0"/>
    <n v="0"/>
    <n v="0"/>
    <n v="0"/>
    <n v="0"/>
    <n v="0"/>
    <n v="0"/>
    <n v="0"/>
    <n v="0"/>
    <n v="0"/>
    <n v="0"/>
    <n v="0"/>
    <n v="0"/>
    <n v="0"/>
  </r>
  <r>
    <x v="0"/>
    <x v="13"/>
    <n v="0"/>
    <n v="0"/>
    <n v="0"/>
    <n v="0"/>
    <n v="0"/>
    <n v="0"/>
    <n v="0"/>
    <n v="0"/>
    <n v="0"/>
    <n v="0"/>
    <n v="0"/>
    <n v="0"/>
    <n v="0"/>
    <n v="0"/>
    <n v="0"/>
  </r>
  <r>
    <x v="0"/>
    <x v="14"/>
    <n v="0"/>
    <n v="0"/>
    <n v="0"/>
    <n v="0"/>
    <n v="0"/>
    <n v="0"/>
    <n v="0"/>
    <n v="0"/>
    <n v="0"/>
    <n v="0"/>
    <n v="0"/>
    <n v="0"/>
    <n v="0"/>
    <n v="0"/>
    <n v="0"/>
  </r>
  <r>
    <x v="0"/>
    <x v="15"/>
    <n v="0"/>
    <n v="0"/>
    <n v="0"/>
    <n v="0"/>
    <n v="0"/>
    <n v="0"/>
    <n v="0"/>
    <n v="0"/>
    <n v="0"/>
    <n v="0"/>
    <n v="0"/>
    <n v="0"/>
    <n v="0"/>
    <n v="0"/>
    <n v="0"/>
  </r>
  <r>
    <x v="0"/>
    <x v="16"/>
    <n v="0"/>
    <n v="0"/>
    <n v="0"/>
    <n v="0"/>
    <n v="0"/>
    <n v="0"/>
    <n v="0"/>
    <n v="0"/>
    <n v="0"/>
    <n v="0"/>
    <n v="0"/>
    <n v="0"/>
    <n v="0"/>
    <n v="0"/>
    <n v="0"/>
  </r>
  <r>
    <x v="0"/>
    <x v="17"/>
    <n v="0"/>
    <n v="0"/>
    <n v="0"/>
    <n v="0"/>
    <n v="0"/>
    <n v="0"/>
    <n v="0"/>
    <n v="0"/>
    <n v="0"/>
    <n v="0"/>
    <n v="0"/>
    <n v="0"/>
    <n v="0"/>
    <n v="0"/>
    <n v="0"/>
  </r>
  <r>
    <x v="0"/>
    <x v="18"/>
    <n v="0"/>
    <n v="0"/>
    <n v="0"/>
    <n v="0"/>
    <n v="0"/>
    <n v="0"/>
    <n v="0"/>
    <n v="0"/>
    <n v="0"/>
    <n v="0"/>
    <n v="0"/>
    <n v="0"/>
    <n v="0"/>
    <n v="0"/>
    <n v="0"/>
  </r>
  <r>
    <x v="0"/>
    <x v="19"/>
    <n v="0"/>
    <n v="0"/>
    <n v="0"/>
    <n v="0"/>
    <n v="0"/>
    <n v="0"/>
    <n v="0"/>
    <n v="0"/>
    <n v="0"/>
    <n v="0"/>
    <n v="0"/>
    <n v="0"/>
    <n v="0"/>
    <n v="0"/>
    <n v="0"/>
  </r>
  <r>
    <x v="0"/>
    <x v="20"/>
    <n v="0"/>
    <n v="0"/>
    <n v="0"/>
    <n v="0"/>
    <n v="0"/>
    <n v="0"/>
    <n v="0"/>
    <n v="0"/>
    <n v="0"/>
    <n v="0"/>
    <n v="0"/>
    <n v="0"/>
    <n v="0"/>
    <n v="0"/>
    <n v="0"/>
  </r>
  <r>
    <x v="0"/>
    <x v="21"/>
    <n v="0"/>
    <n v="0"/>
    <n v="0"/>
    <n v="0"/>
    <n v="0"/>
    <n v="0"/>
    <n v="0"/>
    <n v="0"/>
    <n v="0"/>
    <n v="0"/>
    <n v="0"/>
    <n v="0"/>
    <n v="0"/>
    <n v="0"/>
    <n v="0"/>
  </r>
  <r>
    <x v="0"/>
    <x v="22"/>
    <n v="0"/>
    <n v="0"/>
    <n v="0"/>
    <n v="0"/>
    <n v="0"/>
    <n v="0"/>
    <n v="0"/>
    <n v="0"/>
    <n v="0"/>
    <n v="0"/>
    <n v="0"/>
    <n v="0"/>
    <n v="0"/>
    <n v="0"/>
    <n v="0"/>
  </r>
  <r>
    <x v="0"/>
    <x v="23"/>
    <n v="0"/>
    <n v="0"/>
    <n v="0"/>
    <n v="0"/>
    <n v="0"/>
    <n v="0"/>
    <n v="0"/>
    <n v="0"/>
    <n v="0"/>
    <n v="0"/>
    <n v="0"/>
    <n v="0"/>
    <n v="0"/>
    <n v="0"/>
    <n v="0"/>
  </r>
  <r>
    <x v="0"/>
    <x v="24"/>
    <n v="0"/>
    <n v="0"/>
    <n v="0"/>
    <n v="0"/>
    <n v="0"/>
    <n v="0"/>
    <n v="0"/>
    <n v="0"/>
    <n v="0"/>
    <n v="0"/>
    <n v="0"/>
    <n v="0"/>
    <n v="0"/>
    <n v="0"/>
    <n v="0"/>
  </r>
  <r>
    <x v="0"/>
    <x v="25"/>
    <n v="0"/>
    <n v="0"/>
    <n v="0"/>
    <n v="0"/>
    <n v="0"/>
    <n v="0"/>
    <n v="0"/>
    <n v="0"/>
    <n v="0"/>
    <n v="0"/>
    <n v="0"/>
    <n v="0"/>
    <n v="0"/>
    <n v="0"/>
    <n v="0"/>
  </r>
  <r>
    <x v="0"/>
    <x v="26"/>
    <n v="0"/>
    <n v="0"/>
    <n v="0"/>
    <n v="0"/>
    <n v="0"/>
    <n v="0"/>
    <n v="0"/>
    <n v="0"/>
    <n v="0"/>
    <n v="0"/>
    <n v="0"/>
    <n v="0"/>
    <n v="0"/>
    <n v="0"/>
    <n v="0"/>
  </r>
  <r>
    <x v="0"/>
    <x v="27"/>
    <n v="0"/>
    <n v="0"/>
    <n v="0"/>
    <n v="0"/>
    <n v="0"/>
    <n v="0"/>
    <n v="0"/>
    <n v="0"/>
    <n v="0"/>
    <n v="0"/>
    <n v="0"/>
    <n v="0"/>
    <n v="0"/>
    <n v="0"/>
    <n v="0"/>
  </r>
  <r>
    <x v="0"/>
    <x v="28"/>
    <n v="0"/>
    <n v="0"/>
    <n v="0"/>
    <n v="0"/>
    <n v="0"/>
    <n v="0"/>
    <n v="0"/>
    <n v="0"/>
    <n v="0"/>
    <n v="0"/>
    <n v="0"/>
    <n v="0"/>
    <n v="0"/>
    <n v="0"/>
    <n v="0"/>
  </r>
  <r>
    <x v="0"/>
    <x v="29"/>
    <n v="0"/>
    <n v="0"/>
    <n v="0"/>
    <n v="0"/>
    <n v="0"/>
    <n v="0"/>
    <n v="0"/>
    <n v="0"/>
    <n v="0"/>
    <n v="0"/>
    <n v="0"/>
    <n v="0"/>
    <n v="0"/>
    <n v="0"/>
    <n v="0"/>
  </r>
  <r>
    <x v="0"/>
    <x v="30"/>
    <n v="0"/>
    <n v="0"/>
    <n v="0"/>
    <n v="0"/>
    <n v="0"/>
    <n v="0"/>
    <n v="0"/>
    <n v="0"/>
    <n v="0"/>
    <n v="0"/>
    <n v="0"/>
    <n v="0"/>
    <n v="0"/>
    <n v="0"/>
    <n v="0"/>
  </r>
  <r>
    <x v="0"/>
    <x v="31"/>
    <n v="0"/>
    <n v="0"/>
    <n v="0"/>
    <n v="0"/>
    <n v="0"/>
    <n v="0"/>
    <n v="0"/>
    <n v="0"/>
    <n v="0"/>
    <n v="0"/>
    <n v="0"/>
    <n v="0"/>
    <n v="0"/>
    <n v="0"/>
    <n v="0"/>
  </r>
  <r>
    <x v="0"/>
    <x v="32"/>
    <n v="0"/>
    <n v="0"/>
    <n v="0"/>
    <n v="0"/>
    <n v="0"/>
    <n v="0"/>
    <n v="0"/>
    <n v="0"/>
    <n v="0"/>
    <n v="0"/>
    <n v="0"/>
    <n v="0"/>
    <n v="0"/>
    <n v="0"/>
    <n v="0"/>
  </r>
  <r>
    <x v="0"/>
    <x v="33"/>
    <n v="0"/>
    <n v="0"/>
    <n v="0"/>
    <n v="0"/>
    <n v="0"/>
    <n v="0"/>
    <n v="0"/>
    <n v="0"/>
    <n v="0"/>
    <n v="0"/>
    <n v="0"/>
    <n v="0"/>
    <n v="0"/>
    <n v="0"/>
    <n v="0"/>
  </r>
  <r>
    <x v="0"/>
    <x v="34"/>
    <n v="0"/>
    <n v="0"/>
    <n v="0"/>
    <n v="0"/>
    <n v="0"/>
    <n v="0"/>
    <n v="0"/>
    <n v="0"/>
    <n v="0"/>
    <n v="0"/>
    <n v="0"/>
    <n v="0"/>
    <n v="0"/>
    <n v="0"/>
    <n v="0"/>
  </r>
  <r>
    <x v="0"/>
    <x v="35"/>
    <n v="0"/>
    <n v="0"/>
    <n v="0"/>
    <n v="0"/>
    <n v="0"/>
    <n v="0"/>
    <n v="0"/>
    <n v="0"/>
    <n v="0"/>
    <n v="0"/>
    <n v="0"/>
    <n v="0"/>
    <n v="0"/>
    <n v="0"/>
    <n v="0"/>
  </r>
  <r>
    <x v="0"/>
    <x v="36"/>
    <n v="0"/>
    <n v="0"/>
    <n v="0"/>
    <n v="0"/>
    <n v="0"/>
    <n v="0"/>
    <n v="0"/>
    <n v="0"/>
    <n v="0"/>
    <n v="0"/>
    <n v="0"/>
    <n v="0"/>
    <n v="0"/>
    <n v="0"/>
    <n v="0"/>
  </r>
  <r>
    <x v="0"/>
    <x v="37"/>
    <n v="0"/>
    <n v="0"/>
    <n v="0"/>
    <n v="0"/>
    <n v="0"/>
    <n v="0"/>
    <n v="0"/>
    <n v="0"/>
    <n v="0"/>
    <n v="0"/>
    <n v="0"/>
    <n v="0"/>
    <n v="0"/>
    <n v="0"/>
    <n v="0"/>
  </r>
  <r>
    <x v="0"/>
    <x v="38"/>
    <n v="0"/>
    <n v="0"/>
    <n v="0"/>
    <n v="0"/>
    <n v="0"/>
    <n v="0"/>
    <n v="0"/>
    <n v="0"/>
    <n v="0"/>
    <n v="0"/>
    <n v="0"/>
    <n v="0"/>
    <n v="0"/>
    <n v="0"/>
    <n v="0"/>
  </r>
  <r>
    <x v="0"/>
    <x v="39"/>
    <n v="0"/>
    <n v="0"/>
    <n v="0"/>
    <n v="0"/>
    <n v="0"/>
    <n v="0"/>
    <n v="0"/>
    <n v="0"/>
    <n v="0"/>
    <n v="0"/>
    <n v="0"/>
    <n v="0"/>
    <n v="0"/>
    <n v="0"/>
    <n v="0"/>
  </r>
  <r>
    <x v="0"/>
    <x v="40"/>
    <n v="0"/>
    <n v="0"/>
    <n v="0"/>
    <n v="0"/>
    <n v="0"/>
    <n v="0"/>
    <n v="0"/>
    <n v="0"/>
    <n v="0"/>
    <n v="0"/>
    <n v="0"/>
    <n v="0"/>
    <n v="0"/>
    <n v="0"/>
    <n v="0"/>
  </r>
  <r>
    <x v="0"/>
    <x v="41"/>
    <n v="0"/>
    <n v="0"/>
    <n v="0"/>
    <n v="0"/>
    <n v="0"/>
    <n v="0"/>
    <n v="0"/>
    <n v="0"/>
    <n v="0"/>
    <n v="0"/>
    <n v="0"/>
    <n v="0"/>
    <n v="0"/>
    <n v="0"/>
    <n v="0"/>
  </r>
  <r>
    <x v="0"/>
    <x v="42"/>
    <n v="0"/>
    <n v="0"/>
    <n v="0"/>
    <n v="0"/>
    <n v="0"/>
    <n v="0"/>
    <n v="0"/>
    <n v="0"/>
    <n v="0"/>
    <n v="0"/>
    <n v="0"/>
    <n v="0"/>
    <n v="0"/>
    <n v="0"/>
    <n v="0"/>
  </r>
  <r>
    <x v="0"/>
    <x v="43"/>
    <n v="0"/>
    <n v="0"/>
    <n v="0"/>
    <n v="0"/>
    <n v="0"/>
    <n v="0"/>
    <n v="0"/>
    <n v="0"/>
    <n v="0"/>
    <n v="0"/>
    <n v="0"/>
    <n v="0"/>
    <n v="0"/>
    <n v="0"/>
    <n v="0"/>
  </r>
  <r>
    <x v="0"/>
    <x v="44"/>
    <n v="0"/>
    <n v="0"/>
    <n v="0"/>
    <n v="0"/>
    <n v="0"/>
    <n v="0"/>
    <n v="0"/>
    <n v="0"/>
    <n v="0"/>
    <n v="0"/>
    <n v="0"/>
    <n v="0"/>
    <n v="0"/>
    <n v="0"/>
    <n v="0"/>
  </r>
  <r>
    <x v="0"/>
    <x v="45"/>
    <n v="0"/>
    <n v="0"/>
    <n v="0"/>
    <n v="0"/>
    <n v="0"/>
    <n v="0"/>
    <n v="0"/>
    <n v="0"/>
    <n v="0"/>
    <n v="0"/>
    <n v="0"/>
    <n v="0"/>
    <n v="0"/>
    <n v="0"/>
    <n v="0"/>
  </r>
  <r>
    <x v="0"/>
    <x v="46"/>
    <n v="0"/>
    <n v="0"/>
    <n v="0"/>
    <n v="0"/>
    <n v="0"/>
    <n v="0"/>
    <n v="0"/>
    <n v="0"/>
    <n v="0"/>
    <n v="0"/>
    <n v="0"/>
    <n v="0"/>
    <n v="0"/>
    <n v="0"/>
    <n v="0"/>
  </r>
  <r>
    <x v="0"/>
    <x v="47"/>
    <n v="0"/>
    <n v="0"/>
    <n v="0"/>
    <n v="0"/>
    <n v="0"/>
    <n v="0"/>
    <n v="0"/>
    <n v="0"/>
    <n v="0"/>
    <n v="0"/>
    <n v="0"/>
    <n v="0"/>
    <n v="0"/>
    <n v="0"/>
    <n v="0"/>
  </r>
  <r>
    <x v="0"/>
    <x v="48"/>
    <n v="0"/>
    <n v="0"/>
    <n v="0"/>
    <n v="0"/>
    <n v="0"/>
    <n v="0"/>
    <n v="0"/>
    <n v="0"/>
    <n v="0"/>
    <n v="0"/>
    <n v="0"/>
    <n v="0"/>
    <n v="0"/>
    <n v="0"/>
    <n v="0"/>
  </r>
  <r>
    <x v="0"/>
    <x v="49"/>
    <n v="0"/>
    <n v="0"/>
    <n v="0"/>
    <n v="0"/>
    <n v="0"/>
    <n v="0"/>
    <n v="0"/>
    <n v="0"/>
    <n v="0"/>
    <n v="0"/>
    <n v="0"/>
    <n v="0"/>
    <n v="0"/>
    <n v="0"/>
    <n v="0"/>
  </r>
  <r>
    <x v="0"/>
    <x v="50"/>
    <n v="0"/>
    <n v="0"/>
    <n v="0"/>
    <n v="0"/>
    <n v="0"/>
    <n v="0"/>
    <n v="0"/>
    <n v="0"/>
    <n v="0"/>
    <n v="0"/>
    <n v="0"/>
    <n v="0"/>
    <n v="0"/>
    <n v="0"/>
    <n v="0"/>
  </r>
  <r>
    <x v="0"/>
    <x v="51"/>
    <n v="0"/>
    <n v="0"/>
    <n v="0"/>
    <n v="0"/>
    <n v="0"/>
    <n v="0"/>
    <n v="0"/>
    <n v="0"/>
    <n v="0"/>
    <n v="0"/>
    <n v="0"/>
    <n v="0"/>
    <n v="0"/>
    <n v="0"/>
    <n v="0"/>
  </r>
  <r>
    <x v="0"/>
    <x v="52"/>
    <n v="0"/>
    <n v="0"/>
    <n v="0"/>
    <n v="0"/>
    <n v="0"/>
    <n v="0"/>
    <n v="0"/>
    <n v="0"/>
    <n v="0"/>
    <n v="0"/>
    <n v="0"/>
    <n v="0"/>
    <n v="0"/>
    <n v="0"/>
    <n v="0"/>
  </r>
  <r>
    <x v="0"/>
    <x v="53"/>
    <n v="0"/>
    <n v="0"/>
    <n v="0"/>
    <n v="0"/>
    <n v="0"/>
    <n v="0"/>
    <n v="0"/>
    <n v="0"/>
    <n v="0"/>
    <n v="0"/>
    <n v="0"/>
    <n v="0"/>
    <n v="0"/>
    <n v="0"/>
    <n v="0"/>
  </r>
  <r>
    <x v="0"/>
    <x v="54"/>
    <n v="0"/>
    <n v="0"/>
    <n v="0"/>
    <n v="0"/>
    <n v="0"/>
    <n v="0"/>
    <n v="0"/>
    <n v="0"/>
    <n v="0"/>
    <n v="0"/>
    <n v="0"/>
    <n v="0"/>
    <n v="0"/>
    <n v="0"/>
    <n v="0"/>
  </r>
  <r>
    <x v="0"/>
    <x v="55"/>
    <n v="0"/>
    <n v="0"/>
    <n v="0"/>
    <n v="0"/>
    <n v="0"/>
    <n v="0"/>
    <n v="0"/>
    <n v="0"/>
    <n v="0"/>
    <n v="0"/>
    <n v="0"/>
    <n v="0"/>
    <n v="0"/>
    <n v="0"/>
    <n v="0"/>
  </r>
  <r>
    <x v="0"/>
    <x v="56"/>
    <n v="0"/>
    <n v="0"/>
    <n v="0"/>
    <n v="0"/>
    <n v="0"/>
    <n v="0"/>
    <n v="0"/>
    <n v="0"/>
    <n v="0"/>
    <n v="0"/>
    <n v="0"/>
    <n v="0"/>
    <n v="0"/>
    <n v="0"/>
    <n v="0"/>
  </r>
  <r>
    <x v="0"/>
    <x v="57"/>
    <n v="0"/>
    <n v="0"/>
    <n v="0"/>
    <n v="0"/>
    <n v="0"/>
    <n v="0"/>
    <n v="0"/>
    <n v="0"/>
    <n v="0"/>
    <n v="0"/>
    <n v="0"/>
    <n v="0"/>
    <n v="0"/>
    <n v="0"/>
    <n v="0"/>
  </r>
  <r>
    <x v="0"/>
    <x v="58"/>
    <n v="0"/>
    <n v="0"/>
    <n v="0"/>
    <n v="0"/>
    <n v="0"/>
    <n v="0"/>
    <n v="0"/>
    <n v="0"/>
    <n v="0"/>
    <n v="0"/>
    <n v="0"/>
    <n v="0"/>
    <n v="0"/>
    <n v="0"/>
    <n v="0"/>
  </r>
  <r>
    <x v="0"/>
    <x v="59"/>
    <n v="0"/>
    <n v="0"/>
    <n v="0"/>
    <n v="0"/>
    <n v="0"/>
    <n v="0"/>
    <n v="0"/>
    <n v="0"/>
    <n v="0"/>
    <n v="0"/>
    <n v="0"/>
    <n v="0"/>
    <n v="0"/>
    <n v="0"/>
    <n v="0"/>
  </r>
  <r>
    <x v="0"/>
    <x v="60"/>
    <n v="0"/>
    <n v="0"/>
    <n v="0"/>
    <n v="0"/>
    <n v="0"/>
    <n v="0"/>
    <n v="0"/>
    <n v="0"/>
    <n v="0"/>
    <n v="0"/>
    <n v="0"/>
    <n v="0"/>
    <n v="0"/>
    <n v="0"/>
    <n v="0"/>
  </r>
  <r>
    <x v="0"/>
    <x v="61"/>
    <n v="0"/>
    <n v="0"/>
    <n v="0"/>
    <n v="0"/>
    <n v="0"/>
    <n v="0"/>
    <n v="0"/>
    <n v="0"/>
    <n v="0"/>
    <n v="0"/>
    <n v="0"/>
    <n v="0"/>
    <n v="0"/>
    <n v="0"/>
    <n v="0"/>
  </r>
  <r>
    <x v="0"/>
    <x v="62"/>
    <n v="0"/>
    <n v="0"/>
    <n v="0"/>
    <n v="0"/>
    <n v="0"/>
    <n v="0"/>
    <n v="0"/>
    <n v="0"/>
    <n v="0"/>
    <n v="0"/>
    <n v="0"/>
    <n v="0"/>
    <n v="0"/>
    <n v="0"/>
    <n v="0"/>
  </r>
  <r>
    <x v="0"/>
    <x v="63"/>
    <n v="0"/>
    <n v="0"/>
    <n v="0"/>
    <n v="0"/>
    <n v="0"/>
    <n v="0"/>
    <n v="0"/>
    <n v="0"/>
    <n v="0"/>
    <n v="0"/>
    <n v="0"/>
    <n v="0"/>
    <n v="0"/>
    <n v="0"/>
    <n v="0"/>
  </r>
  <r>
    <x v="0"/>
    <x v="64"/>
    <n v="0"/>
    <n v="0"/>
    <n v="0"/>
    <n v="0"/>
    <n v="0"/>
    <n v="0"/>
    <n v="0"/>
    <n v="0"/>
    <n v="0"/>
    <n v="0"/>
    <n v="0"/>
    <n v="0"/>
    <n v="0"/>
    <n v="0"/>
    <n v="0"/>
  </r>
  <r>
    <x v="0"/>
    <x v="65"/>
    <n v="0"/>
    <n v="0"/>
    <n v="0"/>
    <n v="0"/>
    <n v="0"/>
    <n v="0"/>
    <n v="0"/>
    <n v="0"/>
    <n v="0"/>
    <n v="0"/>
    <n v="0"/>
    <n v="0"/>
    <n v="0"/>
    <n v="0"/>
    <n v="0"/>
  </r>
  <r>
    <x v="0"/>
    <x v="66"/>
    <n v="0"/>
    <n v="0"/>
    <n v="0"/>
    <n v="0"/>
    <n v="0"/>
    <n v="0"/>
    <n v="0"/>
    <n v="0"/>
    <n v="0"/>
    <n v="0"/>
    <n v="0"/>
    <n v="0"/>
    <n v="0"/>
    <n v="0"/>
    <n v="0"/>
  </r>
  <r>
    <x v="0"/>
    <x v="67"/>
    <n v="0"/>
    <n v="0"/>
    <n v="0"/>
    <n v="0"/>
    <n v="0"/>
    <n v="0"/>
    <n v="0"/>
    <n v="0"/>
    <n v="0"/>
    <n v="0"/>
    <n v="0"/>
    <n v="0"/>
    <n v="0"/>
    <n v="0"/>
    <n v="0"/>
  </r>
  <r>
    <x v="0"/>
    <x v="68"/>
    <n v="0"/>
    <n v="0"/>
    <n v="0"/>
    <n v="0"/>
    <n v="0"/>
    <n v="0"/>
    <n v="0"/>
    <n v="0"/>
    <n v="0"/>
    <n v="0"/>
    <n v="0"/>
    <n v="0"/>
    <n v="0"/>
    <n v="0"/>
    <n v="0"/>
  </r>
  <r>
    <x v="0"/>
    <x v="69"/>
    <n v="0"/>
    <n v="0"/>
    <n v="0"/>
    <n v="0"/>
    <n v="0"/>
    <n v="0"/>
    <n v="0"/>
    <n v="0"/>
    <n v="0"/>
    <n v="0"/>
    <n v="0"/>
    <n v="0"/>
    <n v="0"/>
    <n v="0"/>
    <n v="0"/>
  </r>
  <r>
    <x v="0"/>
    <x v="70"/>
    <n v="0"/>
    <n v="0"/>
    <n v="0"/>
    <n v="0"/>
    <n v="0"/>
    <n v="0"/>
    <n v="0"/>
    <n v="0"/>
    <n v="0"/>
    <n v="0"/>
    <n v="0"/>
    <n v="0"/>
    <n v="0"/>
    <n v="0"/>
    <n v="0"/>
  </r>
  <r>
    <x v="0"/>
    <x v="71"/>
    <n v="0"/>
    <n v="0"/>
    <n v="0"/>
    <n v="0"/>
    <n v="0"/>
    <n v="0"/>
    <n v="0"/>
    <n v="0"/>
    <n v="0"/>
    <n v="0"/>
    <n v="0"/>
    <n v="0"/>
    <n v="0"/>
    <n v="0"/>
    <n v="0"/>
  </r>
  <r>
    <x v="0"/>
    <x v="72"/>
    <n v="0"/>
    <n v="0"/>
    <n v="0"/>
    <n v="0"/>
    <n v="0"/>
    <n v="0"/>
    <n v="0"/>
    <n v="0"/>
    <n v="0"/>
    <n v="0"/>
    <n v="0"/>
    <n v="0"/>
    <n v="0"/>
    <n v="0"/>
    <n v="0"/>
  </r>
  <r>
    <x v="0"/>
    <x v="73"/>
    <n v="0"/>
    <n v="0"/>
    <n v="0"/>
    <n v="0"/>
    <n v="0"/>
    <n v="0"/>
    <n v="0"/>
    <n v="0"/>
    <n v="0"/>
    <n v="0"/>
    <n v="0"/>
    <n v="0"/>
    <n v="0"/>
    <n v="0"/>
    <n v="0"/>
  </r>
  <r>
    <x v="0"/>
    <x v="74"/>
    <n v="0"/>
    <n v="0"/>
    <n v="0"/>
    <n v="0"/>
    <n v="0"/>
    <n v="0"/>
    <n v="0"/>
    <n v="0"/>
    <n v="0"/>
    <n v="0"/>
    <n v="0"/>
    <n v="0"/>
    <n v="0"/>
    <n v="0"/>
    <n v="0"/>
  </r>
  <r>
    <x v="0"/>
    <x v="75"/>
    <n v="0"/>
    <n v="0"/>
    <n v="0"/>
    <n v="0"/>
    <n v="0"/>
    <n v="0"/>
    <n v="0"/>
    <n v="0"/>
    <n v="0"/>
    <n v="0"/>
    <n v="0"/>
    <n v="0"/>
    <n v="0"/>
    <n v="0"/>
    <n v="0"/>
  </r>
  <r>
    <x v="0"/>
    <x v="76"/>
    <n v="0"/>
    <n v="0"/>
    <n v="0"/>
    <n v="0"/>
    <n v="0"/>
    <n v="0"/>
    <n v="0"/>
    <n v="0"/>
    <n v="0"/>
    <n v="0"/>
    <n v="0"/>
    <n v="0"/>
    <n v="0"/>
    <n v="0"/>
    <n v="0"/>
  </r>
  <r>
    <x v="0"/>
    <x v="77"/>
    <n v="0"/>
    <n v="0"/>
    <n v="0"/>
    <n v="0"/>
    <n v="0"/>
    <n v="0"/>
    <n v="0"/>
    <n v="0"/>
    <n v="0"/>
    <n v="0"/>
    <n v="0"/>
    <n v="0"/>
    <n v="0"/>
    <n v="0"/>
    <n v="0"/>
  </r>
  <r>
    <x v="0"/>
    <x v="78"/>
    <n v="0"/>
    <n v="0"/>
    <n v="0"/>
    <n v="0"/>
    <n v="0"/>
    <n v="0"/>
    <n v="0"/>
    <n v="0"/>
    <n v="0"/>
    <n v="0"/>
    <n v="0"/>
    <n v="0"/>
    <n v="0"/>
    <n v="0"/>
    <n v="0"/>
  </r>
</pivotCacheRecords>
</file>

<file path=xl/pivotCache/pivotCacheRecords3.xml><?xml version="1.0" encoding="utf-8"?>
<pivotCacheRecords xmlns="http://schemas.openxmlformats.org/spreadsheetml/2006/main" xmlns:r="http://schemas.openxmlformats.org/officeDocument/2006/relationships" count="168">
  <r>
    <x v="0"/>
    <x v="0"/>
    <n v="332"/>
    <x v="0"/>
    <s v="Semester 2"/>
    <n v="201807"/>
    <n v="0"/>
    <n v="0"/>
    <n v="0"/>
  </r>
  <r>
    <x v="0"/>
    <x v="0"/>
    <n v="332"/>
    <x v="0"/>
    <s v="Semester 2"/>
    <n v="201808"/>
    <n v="0"/>
    <n v="0"/>
    <n v="0"/>
  </r>
  <r>
    <x v="0"/>
    <x v="0"/>
    <n v="332"/>
    <x v="0"/>
    <s v="Semester 2"/>
    <n v="201809"/>
    <n v="0"/>
    <n v="0"/>
    <n v="0"/>
  </r>
  <r>
    <x v="0"/>
    <x v="0"/>
    <n v="332"/>
    <x v="0"/>
    <s v="Semester 2"/>
    <n v="201810"/>
    <n v="0"/>
    <n v="0"/>
    <n v="0"/>
  </r>
  <r>
    <x v="0"/>
    <x v="0"/>
    <n v="332"/>
    <x v="0"/>
    <s v="Semester 2"/>
    <n v="201811"/>
    <n v="0"/>
    <n v="0"/>
    <n v="0"/>
  </r>
  <r>
    <x v="0"/>
    <x v="0"/>
    <n v="332"/>
    <x v="0"/>
    <s v="Semester 2"/>
    <n v="201812"/>
    <n v="0"/>
    <n v="0"/>
    <n v="0"/>
  </r>
  <r>
    <x v="0"/>
    <x v="0"/>
    <n v="332"/>
    <x v="1"/>
    <s v="Semester 2"/>
    <n v="201807"/>
    <n v="0"/>
    <n v="0"/>
    <n v="0"/>
  </r>
  <r>
    <x v="0"/>
    <x v="0"/>
    <n v="332"/>
    <x v="1"/>
    <s v="Semester 2"/>
    <n v="201808"/>
    <n v="0"/>
    <n v="0"/>
    <n v="0"/>
  </r>
  <r>
    <x v="0"/>
    <x v="0"/>
    <n v="332"/>
    <x v="1"/>
    <s v="Semester 2"/>
    <n v="201809"/>
    <n v="0"/>
    <n v="0"/>
    <n v="0"/>
  </r>
  <r>
    <x v="0"/>
    <x v="0"/>
    <n v="332"/>
    <x v="1"/>
    <s v="Semester 2"/>
    <n v="201810"/>
    <n v="0"/>
    <n v="0"/>
    <n v="0"/>
  </r>
  <r>
    <x v="0"/>
    <x v="0"/>
    <n v="332"/>
    <x v="1"/>
    <s v="Semester 2"/>
    <n v="201811"/>
    <n v="0"/>
    <n v="0"/>
    <n v="0"/>
  </r>
  <r>
    <x v="0"/>
    <x v="0"/>
    <n v="332"/>
    <x v="1"/>
    <s v="Semester 2"/>
    <n v="201812"/>
    <n v="0"/>
    <n v="0"/>
    <n v="0"/>
  </r>
  <r>
    <x v="0"/>
    <x v="1"/>
    <n v="341"/>
    <x v="0"/>
    <s v="Semester 2"/>
    <n v="201807"/>
    <n v="0"/>
    <n v="0"/>
    <n v="0"/>
  </r>
  <r>
    <x v="0"/>
    <x v="1"/>
    <n v="341"/>
    <x v="0"/>
    <s v="Semester 2"/>
    <n v="201808"/>
    <n v="0"/>
    <n v="0"/>
    <n v="0"/>
  </r>
  <r>
    <x v="0"/>
    <x v="1"/>
    <n v="341"/>
    <x v="0"/>
    <s v="Semester 2"/>
    <n v="201809"/>
    <n v="0"/>
    <n v="0"/>
    <n v="0"/>
  </r>
  <r>
    <x v="0"/>
    <x v="1"/>
    <n v="341"/>
    <x v="0"/>
    <s v="Semester 2"/>
    <n v="201810"/>
    <n v="0"/>
    <n v="0"/>
    <n v="0"/>
  </r>
  <r>
    <x v="0"/>
    <x v="1"/>
    <n v="341"/>
    <x v="0"/>
    <s v="Semester 2"/>
    <n v="201811"/>
    <n v="0"/>
    <n v="0"/>
    <n v="0"/>
  </r>
  <r>
    <x v="0"/>
    <x v="1"/>
    <n v="341"/>
    <x v="0"/>
    <s v="Semester 2"/>
    <n v="201812"/>
    <n v="0"/>
    <n v="0"/>
    <n v="0"/>
  </r>
  <r>
    <x v="0"/>
    <x v="1"/>
    <n v="341"/>
    <x v="1"/>
    <s v="Semester 2"/>
    <n v="201807"/>
    <n v="0"/>
    <n v="0"/>
    <n v="0"/>
  </r>
  <r>
    <x v="0"/>
    <x v="1"/>
    <n v="341"/>
    <x v="1"/>
    <s v="Semester 2"/>
    <n v="201808"/>
    <n v="0"/>
    <n v="0"/>
    <n v="0"/>
  </r>
  <r>
    <x v="0"/>
    <x v="1"/>
    <n v="341"/>
    <x v="1"/>
    <s v="Semester 2"/>
    <n v="201809"/>
    <n v="0"/>
    <n v="0"/>
    <n v="0"/>
  </r>
  <r>
    <x v="0"/>
    <x v="1"/>
    <n v="341"/>
    <x v="1"/>
    <s v="Semester 2"/>
    <n v="201810"/>
    <n v="0"/>
    <n v="0"/>
    <n v="0"/>
  </r>
  <r>
    <x v="0"/>
    <x v="1"/>
    <n v="341"/>
    <x v="1"/>
    <s v="Semester 2"/>
    <n v="201811"/>
    <n v="0"/>
    <n v="0"/>
    <n v="0"/>
  </r>
  <r>
    <x v="0"/>
    <x v="1"/>
    <n v="341"/>
    <x v="1"/>
    <s v="Semester 2"/>
    <n v="201812"/>
    <n v="0"/>
    <n v="0"/>
    <n v="0"/>
  </r>
  <r>
    <x v="0"/>
    <x v="2"/>
    <n v="333"/>
    <x v="0"/>
    <s v="Semester 2"/>
    <n v="201807"/>
    <n v="0"/>
    <n v="0"/>
    <n v="0"/>
  </r>
  <r>
    <x v="0"/>
    <x v="2"/>
    <n v="333"/>
    <x v="0"/>
    <s v="Semester 2"/>
    <n v="201808"/>
    <n v="0"/>
    <n v="0"/>
    <n v="0"/>
  </r>
  <r>
    <x v="0"/>
    <x v="2"/>
    <n v="333"/>
    <x v="0"/>
    <s v="Semester 2"/>
    <n v="201809"/>
    <n v="0"/>
    <n v="0"/>
    <n v="0"/>
  </r>
  <r>
    <x v="0"/>
    <x v="2"/>
    <n v="333"/>
    <x v="0"/>
    <s v="Semester 2"/>
    <n v="201810"/>
    <n v="0"/>
    <n v="0"/>
    <n v="0"/>
  </r>
  <r>
    <x v="0"/>
    <x v="2"/>
    <n v="333"/>
    <x v="0"/>
    <s v="Semester 2"/>
    <n v="201811"/>
    <n v="0"/>
    <n v="0"/>
    <n v="0"/>
  </r>
  <r>
    <x v="0"/>
    <x v="2"/>
    <n v="333"/>
    <x v="0"/>
    <s v="Semester 2"/>
    <n v="201812"/>
    <n v="0"/>
    <n v="0"/>
    <n v="0"/>
  </r>
  <r>
    <x v="0"/>
    <x v="2"/>
    <n v="333"/>
    <x v="1"/>
    <s v="Semester 2"/>
    <n v="201807"/>
    <n v="0"/>
    <n v="0"/>
    <n v="0"/>
  </r>
  <r>
    <x v="0"/>
    <x v="2"/>
    <n v="333"/>
    <x v="1"/>
    <s v="Semester 2"/>
    <n v="201808"/>
    <n v="0"/>
    <n v="0"/>
    <n v="0"/>
  </r>
  <r>
    <x v="0"/>
    <x v="2"/>
    <n v="333"/>
    <x v="1"/>
    <s v="Semester 2"/>
    <n v="201809"/>
    <n v="0"/>
    <n v="0"/>
    <n v="0"/>
  </r>
  <r>
    <x v="0"/>
    <x v="2"/>
    <n v="333"/>
    <x v="1"/>
    <s v="Semester 2"/>
    <n v="201810"/>
    <n v="0"/>
    <n v="0"/>
    <n v="0"/>
  </r>
  <r>
    <x v="0"/>
    <x v="2"/>
    <n v="333"/>
    <x v="1"/>
    <s v="Semester 2"/>
    <n v="201811"/>
    <n v="0"/>
    <n v="0"/>
    <n v="0"/>
  </r>
  <r>
    <x v="0"/>
    <x v="2"/>
    <n v="333"/>
    <x v="1"/>
    <s v="Semester 2"/>
    <n v="201812"/>
    <n v="0"/>
    <n v="0"/>
    <n v="0"/>
  </r>
  <r>
    <x v="0"/>
    <x v="3"/>
    <n v="338"/>
    <x v="0"/>
    <s v="Semester 2"/>
    <n v="201807"/>
    <n v="0"/>
    <n v="0"/>
    <n v="0"/>
  </r>
  <r>
    <x v="0"/>
    <x v="3"/>
    <n v="338"/>
    <x v="0"/>
    <s v="Semester 2"/>
    <n v="201808"/>
    <n v="0"/>
    <n v="0"/>
    <n v="0"/>
  </r>
  <r>
    <x v="0"/>
    <x v="3"/>
    <n v="338"/>
    <x v="0"/>
    <s v="Semester 2"/>
    <n v="201809"/>
    <n v="0"/>
    <n v="0"/>
    <n v="0"/>
  </r>
  <r>
    <x v="0"/>
    <x v="3"/>
    <n v="338"/>
    <x v="0"/>
    <s v="Semester 2"/>
    <n v="201810"/>
    <n v="0"/>
    <n v="0"/>
    <n v="0"/>
  </r>
  <r>
    <x v="0"/>
    <x v="3"/>
    <n v="338"/>
    <x v="0"/>
    <s v="Semester 2"/>
    <n v="201811"/>
    <n v="0"/>
    <n v="0"/>
    <n v="0"/>
  </r>
  <r>
    <x v="0"/>
    <x v="3"/>
    <n v="338"/>
    <x v="0"/>
    <s v="Semester 2"/>
    <n v="201812"/>
    <n v="0"/>
    <n v="0"/>
    <n v="0"/>
  </r>
  <r>
    <x v="0"/>
    <x v="3"/>
    <n v="338"/>
    <x v="1"/>
    <s v="Semester 2"/>
    <n v="201807"/>
    <n v="0"/>
    <n v="0"/>
    <n v="0"/>
  </r>
  <r>
    <x v="0"/>
    <x v="3"/>
    <n v="338"/>
    <x v="1"/>
    <s v="Semester 2"/>
    <n v="201808"/>
    <n v="0"/>
    <n v="0"/>
    <n v="0"/>
  </r>
  <r>
    <x v="0"/>
    <x v="3"/>
    <n v="338"/>
    <x v="1"/>
    <s v="Semester 2"/>
    <n v="201809"/>
    <n v="0"/>
    <n v="0"/>
    <n v="0"/>
  </r>
  <r>
    <x v="0"/>
    <x v="3"/>
    <n v="338"/>
    <x v="1"/>
    <s v="Semester 2"/>
    <n v="201810"/>
    <n v="0"/>
    <n v="0"/>
    <n v="0"/>
  </r>
  <r>
    <x v="0"/>
    <x v="3"/>
    <n v="338"/>
    <x v="1"/>
    <s v="Semester 2"/>
    <n v="201811"/>
    <n v="0"/>
    <n v="0"/>
    <n v="0"/>
  </r>
  <r>
    <x v="0"/>
    <x v="3"/>
    <n v="338"/>
    <x v="1"/>
    <s v="Semester 2"/>
    <n v="201812"/>
    <n v="0"/>
    <n v="0"/>
    <n v="0"/>
  </r>
  <r>
    <x v="0"/>
    <x v="4"/>
    <n v="331"/>
    <x v="0"/>
    <s v="Semester 2"/>
    <n v="201807"/>
    <n v="0"/>
    <n v="0"/>
    <n v="0"/>
  </r>
  <r>
    <x v="0"/>
    <x v="4"/>
    <n v="331"/>
    <x v="0"/>
    <s v="Semester 2"/>
    <n v="201808"/>
    <n v="0"/>
    <n v="0"/>
    <n v="0"/>
  </r>
  <r>
    <x v="0"/>
    <x v="4"/>
    <n v="331"/>
    <x v="0"/>
    <s v="Semester 2"/>
    <n v="201809"/>
    <n v="0"/>
    <n v="0"/>
    <n v="0"/>
  </r>
  <r>
    <x v="0"/>
    <x v="4"/>
    <n v="331"/>
    <x v="0"/>
    <s v="Semester 2"/>
    <n v="201810"/>
    <n v="0"/>
    <n v="0"/>
    <n v="0"/>
  </r>
  <r>
    <x v="0"/>
    <x v="4"/>
    <n v="331"/>
    <x v="0"/>
    <s v="Semester 2"/>
    <n v="201811"/>
    <n v="0"/>
    <n v="0"/>
    <n v="0"/>
  </r>
  <r>
    <x v="0"/>
    <x v="4"/>
    <n v="331"/>
    <x v="0"/>
    <s v="Semester 2"/>
    <n v="201812"/>
    <n v="0"/>
    <n v="0"/>
    <n v="0"/>
  </r>
  <r>
    <x v="0"/>
    <x v="4"/>
    <n v="331"/>
    <x v="1"/>
    <s v="Semester 2"/>
    <n v="201807"/>
    <n v="0"/>
    <n v="0"/>
    <n v="0"/>
  </r>
  <r>
    <x v="0"/>
    <x v="4"/>
    <n v="331"/>
    <x v="1"/>
    <s v="Semester 2"/>
    <n v="201808"/>
    <n v="0"/>
    <n v="0"/>
    <n v="0"/>
  </r>
  <r>
    <x v="0"/>
    <x v="4"/>
    <n v="331"/>
    <x v="1"/>
    <s v="Semester 2"/>
    <n v="201809"/>
    <n v="0"/>
    <n v="0"/>
    <n v="0"/>
  </r>
  <r>
    <x v="0"/>
    <x v="4"/>
    <n v="331"/>
    <x v="1"/>
    <s v="Semester 2"/>
    <n v="201810"/>
    <n v="0"/>
    <n v="0"/>
    <n v="0"/>
  </r>
  <r>
    <x v="0"/>
    <x v="4"/>
    <n v="331"/>
    <x v="1"/>
    <s v="Semester 2"/>
    <n v="201811"/>
    <n v="0"/>
    <n v="0"/>
    <n v="0"/>
  </r>
  <r>
    <x v="0"/>
    <x v="4"/>
    <n v="331"/>
    <x v="1"/>
    <s v="Semester 2"/>
    <n v="201812"/>
    <n v="0"/>
    <n v="0"/>
    <n v="0"/>
  </r>
  <r>
    <x v="0"/>
    <x v="5"/>
    <n v="334"/>
    <x v="0"/>
    <s v="Semester 2"/>
    <n v="201807"/>
    <n v="0"/>
    <n v="0"/>
    <n v="0"/>
  </r>
  <r>
    <x v="0"/>
    <x v="5"/>
    <n v="334"/>
    <x v="0"/>
    <s v="Semester 2"/>
    <n v="201808"/>
    <n v="0"/>
    <n v="0"/>
    <n v="0"/>
  </r>
  <r>
    <x v="0"/>
    <x v="5"/>
    <n v="334"/>
    <x v="0"/>
    <s v="Semester 2"/>
    <n v="201809"/>
    <n v="0"/>
    <n v="0"/>
    <n v="0"/>
  </r>
  <r>
    <x v="0"/>
    <x v="5"/>
    <n v="334"/>
    <x v="0"/>
    <s v="Semester 2"/>
    <n v="201810"/>
    <n v="0"/>
    <n v="0"/>
    <n v="0"/>
  </r>
  <r>
    <x v="0"/>
    <x v="5"/>
    <n v="334"/>
    <x v="0"/>
    <s v="Semester 2"/>
    <n v="201811"/>
    <n v="0"/>
    <n v="0"/>
    <n v="0"/>
  </r>
  <r>
    <x v="0"/>
    <x v="5"/>
    <n v="334"/>
    <x v="0"/>
    <s v="Semester 2"/>
    <n v="201812"/>
    <n v="0"/>
    <n v="0"/>
    <n v="0"/>
  </r>
  <r>
    <x v="0"/>
    <x v="5"/>
    <n v="334"/>
    <x v="1"/>
    <s v="Semester 2"/>
    <n v="201807"/>
    <n v="0"/>
    <n v="0"/>
    <n v="0"/>
  </r>
  <r>
    <x v="0"/>
    <x v="5"/>
    <n v="334"/>
    <x v="1"/>
    <s v="Semester 2"/>
    <n v="201808"/>
    <n v="0"/>
    <n v="0"/>
    <n v="0"/>
  </r>
  <r>
    <x v="0"/>
    <x v="5"/>
    <n v="334"/>
    <x v="1"/>
    <s v="Semester 2"/>
    <n v="201809"/>
    <n v="0"/>
    <n v="0"/>
    <n v="0"/>
  </r>
  <r>
    <x v="0"/>
    <x v="5"/>
    <n v="334"/>
    <x v="1"/>
    <s v="Semester 2"/>
    <n v="201810"/>
    <n v="0"/>
    <n v="0"/>
    <n v="0"/>
  </r>
  <r>
    <x v="0"/>
    <x v="5"/>
    <n v="334"/>
    <x v="1"/>
    <s v="Semester 2"/>
    <n v="201811"/>
    <n v="0"/>
    <n v="0"/>
    <n v="0"/>
  </r>
  <r>
    <x v="0"/>
    <x v="5"/>
    <n v="334"/>
    <x v="1"/>
    <s v="Semester 2"/>
    <n v="201812"/>
    <n v="0"/>
    <n v="0"/>
    <n v="0"/>
  </r>
  <r>
    <x v="0"/>
    <x v="6"/>
    <n v="329"/>
    <x v="0"/>
    <s v="Semester 2"/>
    <n v="201807"/>
    <n v="0"/>
    <n v="0"/>
    <n v="0"/>
  </r>
  <r>
    <x v="0"/>
    <x v="6"/>
    <n v="329"/>
    <x v="0"/>
    <s v="Semester 2"/>
    <n v="201808"/>
    <n v="0"/>
    <n v="0"/>
    <n v="0"/>
  </r>
  <r>
    <x v="0"/>
    <x v="6"/>
    <n v="329"/>
    <x v="0"/>
    <s v="Semester 2"/>
    <n v="201809"/>
    <n v="0"/>
    <n v="0"/>
    <n v="0"/>
  </r>
  <r>
    <x v="0"/>
    <x v="6"/>
    <n v="329"/>
    <x v="0"/>
    <s v="Semester 2"/>
    <n v="201810"/>
    <n v="0"/>
    <n v="0"/>
    <n v="0"/>
  </r>
  <r>
    <x v="0"/>
    <x v="6"/>
    <n v="329"/>
    <x v="0"/>
    <s v="Semester 2"/>
    <n v="201811"/>
    <n v="0"/>
    <n v="0"/>
    <n v="0"/>
  </r>
  <r>
    <x v="0"/>
    <x v="6"/>
    <n v="329"/>
    <x v="0"/>
    <s v="Semester 2"/>
    <n v="201812"/>
    <n v="0"/>
    <n v="0"/>
    <n v="0"/>
  </r>
  <r>
    <x v="0"/>
    <x v="6"/>
    <n v="329"/>
    <x v="1"/>
    <s v="Semester 2"/>
    <n v="201807"/>
    <n v="3"/>
    <n v="0"/>
    <n v="0"/>
  </r>
  <r>
    <x v="0"/>
    <x v="6"/>
    <n v="329"/>
    <x v="1"/>
    <s v="Semester 2"/>
    <n v="201808"/>
    <n v="3"/>
    <n v="0"/>
    <n v="0"/>
  </r>
  <r>
    <x v="0"/>
    <x v="6"/>
    <n v="329"/>
    <x v="1"/>
    <s v="Semester 2"/>
    <n v="201809"/>
    <n v="3"/>
    <n v="0"/>
    <n v="0"/>
  </r>
  <r>
    <x v="0"/>
    <x v="6"/>
    <n v="329"/>
    <x v="1"/>
    <s v="Semester 2"/>
    <n v="201810"/>
    <n v="3"/>
    <n v="0"/>
    <n v="0"/>
  </r>
  <r>
    <x v="0"/>
    <x v="6"/>
    <n v="329"/>
    <x v="1"/>
    <s v="Semester 2"/>
    <n v="201811"/>
    <n v="3"/>
    <n v="0"/>
    <n v="0"/>
  </r>
  <r>
    <x v="0"/>
    <x v="6"/>
    <n v="329"/>
    <x v="1"/>
    <s v="Semester 2"/>
    <n v="201812"/>
    <n v="3"/>
    <n v="0"/>
    <n v="0"/>
  </r>
  <r>
    <x v="0"/>
    <x v="7"/>
    <n v="330"/>
    <x v="0"/>
    <s v="Semester 2"/>
    <n v="201807"/>
    <n v="0"/>
    <n v="0"/>
    <n v="0"/>
  </r>
  <r>
    <x v="0"/>
    <x v="7"/>
    <n v="330"/>
    <x v="0"/>
    <s v="Semester 2"/>
    <n v="201808"/>
    <n v="0"/>
    <n v="0"/>
    <n v="0"/>
  </r>
  <r>
    <x v="0"/>
    <x v="7"/>
    <n v="330"/>
    <x v="0"/>
    <s v="Semester 2"/>
    <n v="201809"/>
    <n v="0"/>
    <n v="0"/>
    <n v="0"/>
  </r>
  <r>
    <x v="0"/>
    <x v="7"/>
    <n v="330"/>
    <x v="0"/>
    <s v="Semester 2"/>
    <n v="201810"/>
    <n v="0"/>
    <n v="0"/>
    <n v="0"/>
  </r>
  <r>
    <x v="0"/>
    <x v="7"/>
    <n v="330"/>
    <x v="0"/>
    <s v="Semester 2"/>
    <n v="201811"/>
    <n v="0"/>
    <n v="0"/>
    <n v="0"/>
  </r>
  <r>
    <x v="0"/>
    <x v="7"/>
    <n v="330"/>
    <x v="0"/>
    <s v="Semester 2"/>
    <n v="201812"/>
    <n v="0"/>
    <n v="0"/>
    <n v="0"/>
  </r>
  <r>
    <x v="0"/>
    <x v="7"/>
    <n v="330"/>
    <x v="1"/>
    <s v="Semester 2"/>
    <n v="201807"/>
    <n v="0"/>
    <n v="0"/>
    <n v="0"/>
  </r>
  <r>
    <x v="0"/>
    <x v="7"/>
    <n v="330"/>
    <x v="1"/>
    <s v="Semester 2"/>
    <n v="201808"/>
    <n v="0"/>
    <n v="0"/>
    <n v="0"/>
  </r>
  <r>
    <x v="0"/>
    <x v="7"/>
    <n v="330"/>
    <x v="1"/>
    <s v="Semester 2"/>
    <n v="201809"/>
    <n v="0"/>
    <n v="0"/>
    <n v="0"/>
  </r>
  <r>
    <x v="0"/>
    <x v="7"/>
    <n v="330"/>
    <x v="1"/>
    <s v="Semester 2"/>
    <n v="201810"/>
    <n v="0"/>
    <n v="0"/>
    <n v="0"/>
  </r>
  <r>
    <x v="0"/>
    <x v="7"/>
    <n v="330"/>
    <x v="1"/>
    <s v="Semester 2"/>
    <n v="201811"/>
    <n v="0"/>
    <n v="0"/>
    <n v="0"/>
  </r>
  <r>
    <x v="0"/>
    <x v="7"/>
    <n v="330"/>
    <x v="1"/>
    <s v="Semester 2"/>
    <n v="201812"/>
    <n v="0"/>
    <n v="0"/>
    <n v="0"/>
  </r>
  <r>
    <x v="0"/>
    <x v="8"/>
    <n v="337"/>
    <x v="0"/>
    <s v="Semester 2"/>
    <n v="201807"/>
    <n v="0"/>
    <n v="0"/>
    <n v="0"/>
  </r>
  <r>
    <x v="0"/>
    <x v="8"/>
    <n v="337"/>
    <x v="0"/>
    <s v="Semester 2"/>
    <n v="201808"/>
    <n v="0"/>
    <n v="0"/>
    <n v="0"/>
  </r>
  <r>
    <x v="0"/>
    <x v="8"/>
    <n v="337"/>
    <x v="0"/>
    <s v="Semester 2"/>
    <n v="201809"/>
    <n v="0"/>
    <n v="0"/>
    <n v="0"/>
  </r>
  <r>
    <x v="0"/>
    <x v="8"/>
    <n v="337"/>
    <x v="0"/>
    <s v="Semester 2"/>
    <n v="201810"/>
    <n v="0"/>
    <n v="0"/>
    <n v="0"/>
  </r>
  <r>
    <x v="0"/>
    <x v="8"/>
    <n v="337"/>
    <x v="0"/>
    <s v="Semester 2"/>
    <n v="201811"/>
    <n v="0"/>
    <n v="0"/>
    <n v="0"/>
  </r>
  <r>
    <x v="0"/>
    <x v="8"/>
    <n v="337"/>
    <x v="0"/>
    <s v="Semester 2"/>
    <n v="201812"/>
    <n v="0"/>
    <n v="0"/>
    <n v="0"/>
  </r>
  <r>
    <x v="0"/>
    <x v="8"/>
    <n v="337"/>
    <x v="1"/>
    <s v="Semester 2"/>
    <n v="201807"/>
    <n v="0"/>
    <n v="0"/>
    <n v="0"/>
  </r>
  <r>
    <x v="0"/>
    <x v="8"/>
    <n v="337"/>
    <x v="1"/>
    <s v="Semester 2"/>
    <n v="201808"/>
    <n v="0"/>
    <n v="0"/>
    <n v="0"/>
  </r>
  <r>
    <x v="0"/>
    <x v="8"/>
    <n v="337"/>
    <x v="1"/>
    <s v="Semester 2"/>
    <n v="201809"/>
    <n v="0"/>
    <n v="0"/>
    <n v="0"/>
  </r>
  <r>
    <x v="0"/>
    <x v="8"/>
    <n v="337"/>
    <x v="1"/>
    <s v="Semester 2"/>
    <n v="201810"/>
    <n v="0"/>
    <n v="0"/>
    <n v="0"/>
  </r>
  <r>
    <x v="0"/>
    <x v="8"/>
    <n v="337"/>
    <x v="1"/>
    <s v="Semester 2"/>
    <n v="201811"/>
    <n v="0"/>
    <n v="0"/>
    <n v="0"/>
  </r>
  <r>
    <x v="0"/>
    <x v="8"/>
    <n v="337"/>
    <x v="1"/>
    <s v="Semester 2"/>
    <n v="201812"/>
    <n v="0"/>
    <n v="0"/>
    <n v="0"/>
  </r>
  <r>
    <x v="0"/>
    <x v="9"/>
    <n v="340"/>
    <x v="0"/>
    <s v="Semester 2"/>
    <n v="201807"/>
    <n v="0"/>
    <n v="0"/>
    <n v="0"/>
  </r>
  <r>
    <x v="0"/>
    <x v="9"/>
    <n v="340"/>
    <x v="0"/>
    <s v="Semester 2"/>
    <n v="201808"/>
    <n v="0"/>
    <n v="0"/>
    <n v="0"/>
  </r>
  <r>
    <x v="0"/>
    <x v="9"/>
    <n v="340"/>
    <x v="0"/>
    <s v="Semester 2"/>
    <n v="201809"/>
    <n v="0"/>
    <n v="0"/>
    <n v="0"/>
  </r>
  <r>
    <x v="0"/>
    <x v="9"/>
    <n v="340"/>
    <x v="0"/>
    <s v="Semester 2"/>
    <n v="201810"/>
    <n v="0"/>
    <n v="0"/>
    <n v="0"/>
  </r>
  <r>
    <x v="0"/>
    <x v="9"/>
    <n v="340"/>
    <x v="0"/>
    <s v="Semester 2"/>
    <n v="201811"/>
    <n v="0"/>
    <n v="0"/>
    <n v="0"/>
  </r>
  <r>
    <x v="0"/>
    <x v="9"/>
    <n v="340"/>
    <x v="0"/>
    <s v="Semester 2"/>
    <n v="201812"/>
    <n v="0"/>
    <n v="0"/>
    <n v="0"/>
  </r>
  <r>
    <x v="0"/>
    <x v="9"/>
    <n v="340"/>
    <x v="1"/>
    <s v="Semester 2"/>
    <n v="201807"/>
    <n v="0"/>
    <n v="0"/>
    <n v="0"/>
  </r>
  <r>
    <x v="0"/>
    <x v="9"/>
    <n v="340"/>
    <x v="1"/>
    <s v="Semester 2"/>
    <n v="201808"/>
    <n v="0"/>
    <n v="0"/>
    <n v="0"/>
  </r>
  <r>
    <x v="0"/>
    <x v="9"/>
    <n v="340"/>
    <x v="1"/>
    <s v="Semester 2"/>
    <n v="201809"/>
    <n v="0"/>
    <n v="0"/>
    <n v="0"/>
  </r>
  <r>
    <x v="0"/>
    <x v="9"/>
    <n v="340"/>
    <x v="1"/>
    <s v="Semester 2"/>
    <n v="201810"/>
    <n v="0"/>
    <n v="0"/>
    <n v="0"/>
  </r>
  <r>
    <x v="0"/>
    <x v="9"/>
    <n v="340"/>
    <x v="1"/>
    <s v="Semester 2"/>
    <n v="201811"/>
    <n v="0"/>
    <n v="0"/>
    <n v="0"/>
  </r>
  <r>
    <x v="0"/>
    <x v="9"/>
    <n v="340"/>
    <x v="1"/>
    <s v="Semester 2"/>
    <n v="201812"/>
    <n v="0"/>
    <n v="0"/>
    <n v="0"/>
  </r>
  <r>
    <x v="0"/>
    <x v="10"/>
    <n v="339"/>
    <x v="0"/>
    <s v="Semester 2"/>
    <n v="201807"/>
    <n v="0"/>
    <n v="0"/>
    <n v="0"/>
  </r>
  <r>
    <x v="0"/>
    <x v="10"/>
    <n v="339"/>
    <x v="0"/>
    <s v="Semester 2"/>
    <n v="201808"/>
    <n v="0"/>
    <n v="0"/>
    <n v="0"/>
  </r>
  <r>
    <x v="0"/>
    <x v="10"/>
    <n v="339"/>
    <x v="0"/>
    <s v="Semester 2"/>
    <n v="201809"/>
    <n v="0"/>
    <n v="0"/>
    <n v="0"/>
  </r>
  <r>
    <x v="0"/>
    <x v="10"/>
    <n v="339"/>
    <x v="0"/>
    <s v="Semester 2"/>
    <n v="201810"/>
    <n v="0"/>
    <n v="0"/>
    <n v="0"/>
  </r>
  <r>
    <x v="0"/>
    <x v="10"/>
    <n v="339"/>
    <x v="0"/>
    <s v="Semester 2"/>
    <n v="201811"/>
    <n v="0"/>
    <n v="0"/>
    <n v="0"/>
  </r>
  <r>
    <x v="0"/>
    <x v="10"/>
    <n v="339"/>
    <x v="0"/>
    <s v="Semester 2"/>
    <n v="201812"/>
    <n v="0"/>
    <n v="0"/>
    <n v="0"/>
  </r>
  <r>
    <x v="0"/>
    <x v="10"/>
    <n v="339"/>
    <x v="1"/>
    <s v="Semester 2"/>
    <n v="201807"/>
    <n v="0"/>
    <n v="0"/>
    <n v="0"/>
  </r>
  <r>
    <x v="0"/>
    <x v="10"/>
    <n v="339"/>
    <x v="1"/>
    <s v="Semester 2"/>
    <n v="201808"/>
    <n v="0"/>
    <n v="0"/>
    <n v="0"/>
  </r>
  <r>
    <x v="0"/>
    <x v="10"/>
    <n v="339"/>
    <x v="1"/>
    <s v="Semester 2"/>
    <n v="201809"/>
    <n v="0"/>
    <n v="0"/>
    <n v="0"/>
  </r>
  <r>
    <x v="0"/>
    <x v="10"/>
    <n v="339"/>
    <x v="1"/>
    <s v="Semester 2"/>
    <n v="201810"/>
    <n v="0"/>
    <n v="0"/>
    <n v="0"/>
  </r>
  <r>
    <x v="0"/>
    <x v="10"/>
    <n v="339"/>
    <x v="1"/>
    <s v="Semester 2"/>
    <n v="201811"/>
    <n v="0"/>
    <n v="0"/>
    <n v="0"/>
  </r>
  <r>
    <x v="0"/>
    <x v="10"/>
    <n v="339"/>
    <x v="1"/>
    <s v="Semester 2"/>
    <n v="201812"/>
    <n v="0"/>
    <n v="0"/>
    <n v="0"/>
  </r>
  <r>
    <x v="0"/>
    <x v="11"/>
    <n v="335"/>
    <x v="0"/>
    <s v="Semester 2"/>
    <n v="201807"/>
    <n v="0"/>
    <n v="0"/>
    <n v="0"/>
  </r>
  <r>
    <x v="0"/>
    <x v="11"/>
    <n v="335"/>
    <x v="0"/>
    <s v="Semester 2"/>
    <n v="201808"/>
    <n v="0"/>
    <n v="0"/>
    <n v="0"/>
  </r>
  <r>
    <x v="0"/>
    <x v="11"/>
    <n v="335"/>
    <x v="0"/>
    <s v="Semester 2"/>
    <n v="201809"/>
    <n v="0"/>
    <n v="0"/>
    <n v="0"/>
  </r>
  <r>
    <x v="0"/>
    <x v="11"/>
    <n v="335"/>
    <x v="0"/>
    <s v="Semester 2"/>
    <n v="201810"/>
    <n v="0"/>
    <n v="0"/>
    <n v="0"/>
  </r>
  <r>
    <x v="0"/>
    <x v="11"/>
    <n v="335"/>
    <x v="0"/>
    <s v="Semester 2"/>
    <n v="201811"/>
    <n v="0"/>
    <n v="0"/>
    <n v="0"/>
  </r>
  <r>
    <x v="0"/>
    <x v="11"/>
    <n v="335"/>
    <x v="0"/>
    <s v="Semester 2"/>
    <n v="201812"/>
    <n v="0"/>
    <n v="0"/>
    <n v="0"/>
  </r>
  <r>
    <x v="0"/>
    <x v="11"/>
    <n v="335"/>
    <x v="1"/>
    <s v="Semester 2"/>
    <n v="201807"/>
    <n v="0"/>
    <n v="0"/>
    <n v="0"/>
  </r>
  <r>
    <x v="0"/>
    <x v="11"/>
    <n v="335"/>
    <x v="1"/>
    <s v="Semester 2"/>
    <n v="201808"/>
    <n v="0"/>
    <n v="0"/>
    <n v="0"/>
  </r>
  <r>
    <x v="0"/>
    <x v="11"/>
    <n v="335"/>
    <x v="1"/>
    <s v="Semester 2"/>
    <n v="201809"/>
    <n v="0"/>
    <n v="0"/>
    <n v="0"/>
  </r>
  <r>
    <x v="0"/>
    <x v="11"/>
    <n v="335"/>
    <x v="1"/>
    <s v="Semester 2"/>
    <n v="201810"/>
    <n v="0"/>
    <n v="0"/>
    <n v="0"/>
  </r>
  <r>
    <x v="0"/>
    <x v="11"/>
    <n v="335"/>
    <x v="1"/>
    <s v="Semester 2"/>
    <n v="201811"/>
    <n v="0"/>
    <n v="0"/>
    <n v="0"/>
  </r>
  <r>
    <x v="0"/>
    <x v="11"/>
    <n v="335"/>
    <x v="1"/>
    <s v="Semester 2"/>
    <n v="201812"/>
    <n v="0"/>
    <n v="0"/>
    <n v="0"/>
  </r>
  <r>
    <x v="0"/>
    <x v="12"/>
    <n v="336"/>
    <x v="0"/>
    <s v="Semester 2"/>
    <n v="201807"/>
    <n v="0"/>
    <n v="0"/>
    <n v="0"/>
  </r>
  <r>
    <x v="0"/>
    <x v="12"/>
    <n v="336"/>
    <x v="0"/>
    <s v="Semester 2"/>
    <n v="201808"/>
    <n v="0"/>
    <n v="0"/>
    <n v="0"/>
  </r>
  <r>
    <x v="0"/>
    <x v="12"/>
    <n v="336"/>
    <x v="0"/>
    <s v="Semester 2"/>
    <n v="201809"/>
    <n v="0"/>
    <n v="0"/>
    <n v="0"/>
  </r>
  <r>
    <x v="0"/>
    <x v="12"/>
    <n v="336"/>
    <x v="0"/>
    <s v="Semester 2"/>
    <n v="201810"/>
    <n v="0"/>
    <n v="0"/>
    <n v="0"/>
  </r>
  <r>
    <x v="0"/>
    <x v="12"/>
    <n v="336"/>
    <x v="0"/>
    <s v="Semester 2"/>
    <n v="201811"/>
    <n v="0"/>
    <n v="0"/>
    <n v="0"/>
  </r>
  <r>
    <x v="0"/>
    <x v="12"/>
    <n v="336"/>
    <x v="0"/>
    <s v="Semester 2"/>
    <n v="201812"/>
    <n v="0"/>
    <n v="0"/>
    <n v="0"/>
  </r>
  <r>
    <x v="0"/>
    <x v="12"/>
    <n v="336"/>
    <x v="1"/>
    <s v="Semester 2"/>
    <n v="201807"/>
    <n v="0"/>
    <n v="0"/>
    <n v="0"/>
  </r>
  <r>
    <x v="0"/>
    <x v="12"/>
    <n v="336"/>
    <x v="1"/>
    <s v="Semester 2"/>
    <n v="201808"/>
    <n v="0"/>
    <n v="0"/>
    <n v="0"/>
  </r>
  <r>
    <x v="0"/>
    <x v="12"/>
    <n v="336"/>
    <x v="1"/>
    <s v="Semester 2"/>
    <n v="201809"/>
    <n v="0"/>
    <n v="0"/>
    <n v="0"/>
  </r>
  <r>
    <x v="0"/>
    <x v="12"/>
    <n v="336"/>
    <x v="1"/>
    <s v="Semester 2"/>
    <n v="201810"/>
    <n v="0"/>
    <n v="0"/>
    <n v="0"/>
  </r>
  <r>
    <x v="0"/>
    <x v="12"/>
    <n v="336"/>
    <x v="1"/>
    <s v="Semester 2"/>
    <n v="201811"/>
    <n v="0"/>
    <n v="0"/>
    <n v="0"/>
  </r>
  <r>
    <x v="0"/>
    <x v="12"/>
    <n v="336"/>
    <x v="1"/>
    <s v="Semester 2"/>
    <n v="201812"/>
    <n v="0"/>
    <n v="0"/>
    <n v="0"/>
  </r>
  <r>
    <x v="0"/>
    <x v="13"/>
    <n v="342"/>
    <x v="0"/>
    <s v="Semester 2"/>
    <n v="201807"/>
    <n v="0"/>
    <n v="0"/>
    <n v="0"/>
  </r>
  <r>
    <x v="0"/>
    <x v="13"/>
    <n v="342"/>
    <x v="0"/>
    <s v="Semester 2"/>
    <n v="201808"/>
    <n v="0"/>
    <n v="0"/>
    <n v="0"/>
  </r>
  <r>
    <x v="0"/>
    <x v="13"/>
    <n v="342"/>
    <x v="0"/>
    <s v="Semester 2"/>
    <n v="201809"/>
    <n v="0"/>
    <n v="0"/>
    <n v="0"/>
  </r>
  <r>
    <x v="0"/>
    <x v="13"/>
    <n v="342"/>
    <x v="0"/>
    <s v="Semester 2"/>
    <n v="201810"/>
    <n v="0"/>
    <n v="0"/>
    <n v="0"/>
  </r>
  <r>
    <x v="0"/>
    <x v="13"/>
    <n v="342"/>
    <x v="0"/>
    <s v="Semester 2"/>
    <n v="201811"/>
    <n v="0"/>
    <n v="0"/>
    <n v="0"/>
  </r>
  <r>
    <x v="0"/>
    <x v="13"/>
    <n v="342"/>
    <x v="0"/>
    <s v="Semester 2"/>
    <n v="201812"/>
    <n v="0"/>
    <n v="0"/>
    <n v="0"/>
  </r>
  <r>
    <x v="0"/>
    <x v="13"/>
    <n v="342"/>
    <x v="1"/>
    <s v="Semester 2"/>
    <n v="201807"/>
    <n v="2"/>
    <n v="0"/>
    <n v="0"/>
  </r>
  <r>
    <x v="0"/>
    <x v="13"/>
    <n v="342"/>
    <x v="1"/>
    <s v="Semester 2"/>
    <n v="201808"/>
    <n v="2"/>
    <n v="0"/>
    <n v="0"/>
  </r>
  <r>
    <x v="0"/>
    <x v="13"/>
    <n v="342"/>
    <x v="1"/>
    <s v="Semester 2"/>
    <n v="201809"/>
    <n v="2"/>
    <n v="0"/>
    <n v="0"/>
  </r>
  <r>
    <x v="0"/>
    <x v="13"/>
    <n v="342"/>
    <x v="1"/>
    <s v="Semester 2"/>
    <n v="201810"/>
    <n v="2"/>
    <n v="0"/>
    <n v="0"/>
  </r>
  <r>
    <x v="0"/>
    <x v="13"/>
    <n v="342"/>
    <x v="1"/>
    <s v="Semester 2"/>
    <n v="201811"/>
    <n v="2"/>
    <n v="0"/>
    <n v="0"/>
  </r>
  <r>
    <x v="0"/>
    <x v="13"/>
    <n v="342"/>
    <x v="1"/>
    <s v="Semester 2"/>
    <n v="201812"/>
    <n v="2"/>
    <n v="0"/>
    <n v="0"/>
  </r>
</pivotCacheRecords>
</file>

<file path=xl/pivotCache/pivotCacheRecords4.xml><?xml version="1.0" encoding="utf-8"?>
<pivotCacheRecords xmlns="http://schemas.openxmlformats.org/spreadsheetml/2006/main" xmlns:r="http://schemas.openxmlformats.org/officeDocument/2006/relationships" count="168">
  <r>
    <s v="KALIMANTAN TENGAH"/>
    <x v="0"/>
    <n v="332"/>
    <x v="0"/>
    <s v="Semester 2"/>
    <n v="201807"/>
    <n v="0"/>
    <n v="0"/>
    <n v="0"/>
    <n v="0"/>
    <n v="0"/>
    <n v="0"/>
    <n v="0"/>
    <n v="0"/>
    <n v="0"/>
    <n v="0"/>
    <n v="0"/>
    <n v="0"/>
    <n v="0"/>
    <n v="0"/>
    <n v="0"/>
    <n v="0"/>
    <n v="0"/>
  </r>
  <r>
    <s v="KALIMANTAN TENGAH"/>
    <x v="0"/>
    <n v="332"/>
    <x v="0"/>
    <s v="Semester 2"/>
    <n v="201808"/>
    <n v="0"/>
    <n v="0"/>
    <n v="0"/>
    <n v="0"/>
    <n v="0"/>
    <n v="0"/>
    <n v="0"/>
    <n v="0"/>
    <n v="0"/>
    <n v="0"/>
    <n v="0"/>
    <n v="0"/>
    <n v="0"/>
    <n v="0"/>
    <n v="0"/>
    <n v="0"/>
    <n v="0"/>
  </r>
  <r>
    <s v="KALIMANTAN TENGAH"/>
    <x v="0"/>
    <n v="332"/>
    <x v="0"/>
    <s v="Semester 2"/>
    <n v="201809"/>
    <n v="0"/>
    <n v="0"/>
    <n v="0"/>
    <n v="0"/>
    <n v="0"/>
    <n v="0"/>
    <n v="0"/>
    <n v="0"/>
    <n v="0"/>
    <n v="0"/>
    <n v="0"/>
    <n v="0"/>
    <n v="0"/>
    <n v="0"/>
    <n v="0"/>
    <n v="0"/>
    <n v="0"/>
  </r>
  <r>
    <s v="KALIMANTAN TENGAH"/>
    <x v="0"/>
    <n v="332"/>
    <x v="0"/>
    <s v="Semester 2"/>
    <n v="201810"/>
    <n v="0"/>
    <n v="0"/>
    <n v="0"/>
    <n v="0"/>
    <n v="0"/>
    <n v="0"/>
    <n v="0"/>
    <n v="0"/>
    <n v="0"/>
    <n v="0"/>
    <n v="0"/>
    <n v="0"/>
    <n v="0"/>
    <n v="0"/>
    <n v="0"/>
    <n v="0"/>
    <n v="0"/>
  </r>
  <r>
    <s v="KALIMANTAN TENGAH"/>
    <x v="0"/>
    <n v="332"/>
    <x v="0"/>
    <s v="Semester 2"/>
    <n v="201811"/>
    <n v="0"/>
    <n v="0"/>
    <n v="0"/>
    <n v="0"/>
    <n v="0"/>
    <n v="0"/>
    <n v="0"/>
    <n v="0"/>
    <n v="0"/>
    <n v="0"/>
    <n v="0"/>
    <n v="0"/>
    <n v="0"/>
    <n v="0"/>
    <n v="0"/>
    <n v="0"/>
    <n v="0"/>
  </r>
  <r>
    <s v="KALIMANTAN TENGAH"/>
    <x v="0"/>
    <n v="332"/>
    <x v="0"/>
    <s v="Semester 2"/>
    <n v="201812"/>
    <n v="0"/>
    <n v="0"/>
    <n v="0"/>
    <n v="0"/>
    <n v="0"/>
    <n v="0"/>
    <n v="0"/>
    <n v="0"/>
    <n v="0"/>
    <n v="0"/>
    <n v="0"/>
    <n v="0"/>
    <n v="0"/>
    <n v="0"/>
    <n v="0"/>
    <n v="0"/>
    <n v="0"/>
  </r>
  <r>
    <s v="KALIMANTAN TENGAH"/>
    <x v="0"/>
    <n v="332"/>
    <x v="1"/>
    <s v="Semester 2"/>
    <n v="201807"/>
    <n v="0"/>
    <n v="0"/>
    <n v="0"/>
    <n v="0"/>
    <n v="0"/>
    <n v="0"/>
    <n v="0"/>
    <n v="0"/>
    <n v="0"/>
    <n v="0"/>
    <n v="0"/>
    <n v="0"/>
    <n v="0"/>
    <n v="0"/>
    <n v="0"/>
    <n v="0"/>
    <n v="0"/>
  </r>
  <r>
    <s v="KALIMANTAN TENGAH"/>
    <x v="0"/>
    <n v="332"/>
    <x v="1"/>
    <s v="Semester 2"/>
    <n v="201808"/>
    <n v="0"/>
    <n v="0"/>
    <n v="0"/>
    <n v="0"/>
    <n v="0"/>
    <n v="0"/>
    <n v="0"/>
    <n v="0"/>
    <n v="0"/>
    <n v="0"/>
    <n v="0"/>
    <n v="0"/>
    <n v="0"/>
    <n v="0"/>
    <n v="0"/>
    <n v="0"/>
    <n v="0"/>
  </r>
  <r>
    <s v="KALIMANTAN TENGAH"/>
    <x v="0"/>
    <n v="332"/>
    <x v="1"/>
    <s v="Semester 2"/>
    <n v="201809"/>
    <n v="0"/>
    <n v="0"/>
    <n v="0"/>
    <n v="0"/>
    <n v="0"/>
    <n v="0"/>
    <n v="0"/>
    <n v="0"/>
    <n v="0"/>
    <n v="0"/>
    <n v="0"/>
    <n v="0"/>
    <n v="0"/>
    <n v="0"/>
    <n v="0"/>
    <n v="0"/>
    <n v="0"/>
  </r>
  <r>
    <s v="KALIMANTAN TENGAH"/>
    <x v="0"/>
    <n v="332"/>
    <x v="1"/>
    <s v="Semester 2"/>
    <n v="201810"/>
    <n v="0"/>
    <n v="0"/>
    <n v="0"/>
    <n v="0"/>
    <n v="0"/>
    <n v="0"/>
    <n v="0"/>
    <n v="0"/>
    <n v="0"/>
    <n v="0"/>
    <n v="0"/>
    <n v="0"/>
    <n v="0"/>
    <n v="0"/>
    <n v="0"/>
    <n v="0"/>
    <n v="0"/>
  </r>
  <r>
    <s v="KALIMANTAN TENGAH"/>
    <x v="0"/>
    <n v="332"/>
    <x v="1"/>
    <s v="Semester 2"/>
    <n v="201811"/>
    <n v="0"/>
    <n v="0"/>
    <n v="0"/>
    <n v="0"/>
    <n v="0"/>
    <n v="0"/>
    <n v="0"/>
    <n v="0"/>
    <n v="0"/>
    <n v="0"/>
    <n v="0"/>
    <n v="0"/>
    <n v="0"/>
    <n v="0"/>
    <n v="0"/>
    <n v="0"/>
    <n v="0"/>
  </r>
  <r>
    <s v="KALIMANTAN TENGAH"/>
    <x v="0"/>
    <n v="332"/>
    <x v="1"/>
    <s v="Semester 2"/>
    <n v="201812"/>
    <n v="0"/>
    <n v="0"/>
    <n v="0"/>
    <n v="0"/>
    <n v="0"/>
    <n v="0"/>
    <n v="0"/>
    <n v="0"/>
    <n v="0"/>
    <n v="0"/>
    <n v="0"/>
    <n v="0"/>
    <n v="0"/>
    <n v="0"/>
    <n v="0"/>
    <n v="0"/>
    <n v="0"/>
  </r>
  <r>
    <s v="KALIMANTAN TENGAH"/>
    <x v="1"/>
    <n v="341"/>
    <x v="0"/>
    <s v="Semester 2"/>
    <n v="201807"/>
    <n v="0"/>
    <n v="0"/>
    <n v="0"/>
    <n v="0"/>
    <n v="0"/>
    <n v="0"/>
    <n v="0"/>
    <n v="0"/>
    <n v="0"/>
    <n v="0"/>
    <n v="0"/>
    <n v="0"/>
    <n v="0"/>
    <n v="0"/>
    <n v="0"/>
    <n v="0"/>
    <n v="0"/>
  </r>
  <r>
    <s v="KALIMANTAN TENGAH"/>
    <x v="1"/>
    <n v="341"/>
    <x v="0"/>
    <s v="Semester 2"/>
    <n v="201808"/>
    <n v="0"/>
    <n v="0"/>
    <n v="0"/>
    <n v="0"/>
    <n v="0"/>
    <n v="0"/>
    <n v="0"/>
    <n v="0"/>
    <n v="0"/>
    <n v="0"/>
    <n v="0"/>
    <n v="0"/>
    <n v="0"/>
    <n v="0"/>
    <n v="0"/>
    <n v="0"/>
    <n v="0"/>
  </r>
  <r>
    <s v="KALIMANTAN TENGAH"/>
    <x v="1"/>
    <n v="341"/>
    <x v="0"/>
    <s v="Semester 2"/>
    <n v="201809"/>
    <n v="0"/>
    <n v="0"/>
    <n v="0"/>
    <n v="0"/>
    <n v="0"/>
    <n v="0"/>
    <n v="0"/>
    <n v="0"/>
    <n v="0"/>
    <n v="0"/>
    <n v="0"/>
    <n v="0"/>
    <n v="0"/>
    <n v="0"/>
    <n v="0"/>
    <n v="0"/>
    <n v="0"/>
  </r>
  <r>
    <s v="KALIMANTAN TENGAH"/>
    <x v="1"/>
    <n v="341"/>
    <x v="0"/>
    <s v="Semester 2"/>
    <n v="201810"/>
    <n v="0"/>
    <n v="0"/>
    <n v="0"/>
    <n v="0"/>
    <n v="0"/>
    <n v="0"/>
    <n v="0"/>
    <n v="0"/>
    <n v="0"/>
    <n v="0"/>
    <n v="0"/>
    <n v="0"/>
    <n v="0"/>
    <n v="0"/>
    <n v="0"/>
    <n v="0"/>
    <n v="0"/>
  </r>
  <r>
    <s v="KALIMANTAN TENGAH"/>
    <x v="1"/>
    <n v="341"/>
    <x v="0"/>
    <s v="Semester 2"/>
    <n v="201811"/>
    <n v="0"/>
    <n v="0"/>
    <n v="0"/>
    <n v="0"/>
    <n v="0"/>
    <n v="0"/>
    <n v="0"/>
    <n v="0"/>
    <n v="0"/>
    <n v="0"/>
    <n v="0"/>
    <n v="0"/>
    <n v="0"/>
    <n v="0"/>
    <n v="0"/>
    <n v="0"/>
    <n v="0"/>
  </r>
  <r>
    <s v="KALIMANTAN TENGAH"/>
    <x v="1"/>
    <n v="341"/>
    <x v="0"/>
    <s v="Semester 2"/>
    <n v="201812"/>
    <n v="0"/>
    <n v="0"/>
    <n v="0"/>
    <n v="0"/>
    <n v="0"/>
    <n v="0"/>
    <n v="0"/>
    <n v="0"/>
    <n v="0"/>
    <n v="0"/>
    <n v="0"/>
    <n v="0"/>
    <n v="0"/>
    <n v="0"/>
    <n v="0"/>
    <n v="0"/>
    <n v="0"/>
  </r>
  <r>
    <s v="KALIMANTAN TENGAH"/>
    <x v="1"/>
    <n v="341"/>
    <x v="1"/>
    <s v="Semester 2"/>
    <n v="201807"/>
    <n v="0"/>
    <n v="0"/>
    <n v="0"/>
    <n v="0"/>
    <n v="0"/>
    <n v="0"/>
    <n v="0"/>
    <n v="0"/>
    <n v="0"/>
    <n v="0"/>
    <n v="0"/>
    <n v="0"/>
    <n v="0"/>
    <n v="0"/>
    <n v="0"/>
    <n v="0"/>
    <n v="0"/>
  </r>
  <r>
    <s v="KALIMANTAN TENGAH"/>
    <x v="1"/>
    <n v="341"/>
    <x v="1"/>
    <s v="Semester 2"/>
    <n v="201808"/>
    <n v="0"/>
    <n v="0"/>
    <n v="0"/>
    <n v="0"/>
    <n v="0"/>
    <n v="0"/>
    <n v="0"/>
    <n v="0"/>
    <n v="0"/>
    <n v="0"/>
    <n v="0"/>
    <n v="0"/>
    <n v="0"/>
    <n v="0"/>
    <n v="0"/>
    <n v="0"/>
    <n v="0"/>
  </r>
  <r>
    <s v="KALIMANTAN TENGAH"/>
    <x v="1"/>
    <n v="341"/>
    <x v="1"/>
    <s v="Semester 2"/>
    <n v="201809"/>
    <n v="0"/>
    <n v="0"/>
    <n v="0"/>
    <n v="0"/>
    <n v="0"/>
    <n v="0"/>
    <n v="0"/>
    <n v="0"/>
    <n v="0"/>
    <n v="0"/>
    <n v="0"/>
    <n v="0"/>
    <n v="0"/>
    <n v="0"/>
    <n v="0"/>
    <n v="0"/>
    <n v="0"/>
  </r>
  <r>
    <s v="KALIMANTAN TENGAH"/>
    <x v="1"/>
    <n v="341"/>
    <x v="1"/>
    <s v="Semester 2"/>
    <n v="201810"/>
    <n v="0"/>
    <n v="0"/>
    <n v="0"/>
    <n v="0"/>
    <n v="0"/>
    <n v="0"/>
    <n v="0"/>
    <n v="0"/>
    <n v="0"/>
    <n v="0"/>
    <n v="0"/>
    <n v="0"/>
    <n v="0"/>
    <n v="0"/>
    <n v="0"/>
    <n v="0"/>
    <n v="0"/>
  </r>
  <r>
    <s v="KALIMANTAN TENGAH"/>
    <x v="1"/>
    <n v="341"/>
    <x v="1"/>
    <s v="Semester 2"/>
    <n v="201811"/>
    <n v="0"/>
    <n v="0"/>
    <n v="0"/>
    <n v="0"/>
    <n v="0"/>
    <n v="0"/>
    <n v="0"/>
    <n v="0"/>
    <n v="0"/>
    <n v="0"/>
    <n v="0"/>
    <n v="0"/>
    <n v="0"/>
    <n v="0"/>
    <n v="0"/>
    <n v="0"/>
    <n v="0"/>
  </r>
  <r>
    <s v="KALIMANTAN TENGAH"/>
    <x v="1"/>
    <n v="341"/>
    <x v="1"/>
    <s v="Semester 2"/>
    <n v="201812"/>
    <n v="0"/>
    <n v="0"/>
    <n v="0"/>
    <n v="0"/>
    <n v="0"/>
    <n v="0"/>
    <n v="0"/>
    <n v="0"/>
    <n v="0"/>
    <n v="0"/>
    <n v="0"/>
    <n v="0"/>
    <n v="0"/>
    <n v="0"/>
    <n v="0"/>
    <n v="0"/>
    <n v="0"/>
  </r>
  <r>
    <s v="KALIMANTAN TENGAH"/>
    <x v="2"/>
    <n v="333"/>
    <x v="0"/>
    <s v="Semester 2"/>
    <n v="201807"/>
    <n v="0"/>
    <n v="0"/>
    <n v="0"/>
    <n v="0"/>
    <n v="0"/>
    <n v="0"/>
    <n v="0"/>
    <n v="0"/>
    <n v="0"/>
    <n v="0"/>
    <n v="0"/>
    <n v="0"/>
    <n v="0"/>
    <n v="0"/>
    <n v="0"/>
    <n v="0"/>
    <n v="0"/>
  </r>
  <r>
    <s v="KALIMANTAN TENGAH"/>
    <x v="2"/>
    <n v="333"/>
    <x v="0"/>
    <s v="Semester 2"/>
    <n v="201808"/>
    <n v="0"/>
    <n v="0"/>
    <n v="0"/>
    <n v="0"/>
    <n v="0"/>
    <n v="0"/>
    <n v="0"/>
    <n v="0"/>
    <n v="0"/>
    <n v="0"/>
    <n v="0"/>
    <n v="0"/>
    <n v="0"/>
    <n v="0"/>
    <n v="0"/>
    <n v="0"/>
    <n v="0"/>
  </r>
  <r>
    <s v="KALIMANTAN TENGAH"/>
    <x v="2"/>
    <n v="333"/>
    <x v="0"/>
    <s v="Semester 2"/>
    <n v="201809"/>
    <n v="0"/>
    <n v="0"/>
    <n v="0"/>
    <n v="0"/>
    <n v="0"/>
    <n v="0"/>
    <n v="0"/>
    <n v="0"/>
    <n v="0"/>
    <n v="0"/>
    <n v="0"/>
    <n v="0"/>
    <n v="0"/>
    <n v="0"/>
    <n v="0"/>
    <n v="0"/>
    <n v="0"/>
  </r>
  <r>
    <s v="KALIMANTAN TENGAH"/>
    <x v="2"/>
    <n v="333"/>
    <x v="0"/>
    <s v="Semester 2"/>
    <n v="201810"/>
    <n v="0"/>
    <n v="0"/>
    <n v="0"/>
    <n v="0"/>
    <n v="0"/>
    <n v="0"/>
    <n v="0"/>
    <n v="0"/>
    <n v="0"/>
    <n v="0"/>
    <n v="0"/>
    <n v="0"/>
    <n v="0"/>
    <n v="0"/>
    <n v="0"/>
    <n v="0"/>
    <n v="0"/>
  </r>
  <r>
    <s v="KALIMANTAN TENGAH"/>
    <x v="2"/>
    <n v="333"/>
    <x v="0"/>
    <s v="Semester 2"/>
    <n v="201811"/>
    <n v="0"/>
    <n v="0"/>
    <n v="0"/>
    <n v="0"/>
    <n v="0"/>
    <n v="0"/>
    <n v="0"/>
    <n v="0"/>
    <n v="0"/>
    <n v="0"/>
    <n v="0"/>
    <n v="0"/>
    <n v="0"/>
    <n v="0"/>
    <n v="0"/>
    <n v="0"/>
    <n v="0"/>
  </r>
  <r>
    <s v="KALIMANTAN TENGAH"/>
    <x v="2"/>
    <n v="333"/>
    <x v="0"/>
    <s v="Semester 2"/>
    <n v="201812"/>
    <n v="0"/>
    <n v="0"/>
    <n v="0"/>
    <n v="0"/>
    <n v="0"/>
    <n v="0"/>
    <n v="0"/>
    <n v="0"/>
    <n v="0"/>
    <n v="0"/>
    <n v="0"/>
    <n v="0"/>
    <n v="0"/>
    <n v="0"/>
    <n v="0"/>
    <n v="0"/>
    <n v="0"/>
  </r>
  <r>
    <s v="KALIMANTAN TENGAH"/>
    <x v="2"/>
    <n v="333"/>
    <x v="1"/>
    <s v="Semester 2"/>
    <n v="201807"/>
    <n v="0"/>
    <n v="0"/>
    <n v="0"/>
    <n v="0"/>
    <n v="0"/>
    <n v="0"/>
    <n v="0"/>
    <n v="0"/>
    <n v="0"/>
    <n v="0"/>
    <n v="0"/>
    <n v="0"/>
    <n v="0"/>
    <n v="0"/>
    <n v="0"/>
    <n v="0"/>
    <n v="0"/>
  </r>
  <r>
    <s v="KALIMANTAN TENGAH"/>
    <x v="2"/>
    <n v="333"/>
    <x v="1"/>
    <s v="Semester 2"/>
    <n v="201808"/>
    <n v="0"/>
    <n v="0"/>
    <n v="0"/>
    <n v="0"/>
    <n v="0"/>
    <n v="0"/>
    <n v="0"/>
    <n v="0"/>
    <n v="0"/>
    <n v="0"/>
    <n v="0"/>
    <n v="0"/>
    <n v="0"/>
    <n v="0"/>
    <n v="0"/>
    <n v="0"/>
    <n v="0"/>
  </r>
  <r>
    <s v="KALIMANTAN TENGAH"/>
    <x v="2"/>
    <n v="333"/>
    <x v="1"/>
    <s v="Semester 2"/>
    <n v="201809"/>
    <n v="0"/>
    <n v="0"/>
    <n v="0"/>
    <n v="0"/>
    <n v="0"/>
    <n v="0"/>
    <n v="0"/>
    <n v="0"/>
    <n v="0"/>
    <n v="0"/>
    <n v="0"/>
    <n v="0"/>
    <n v="0"/>
    <n v="0"/>
    <n v="0"/>
    <n v="0"/>
    <n v="0"/>
  </r>
  <r>
    <s v="KALIMANTAN TENGAH"/>
    <x v="2"/>
    <n v="333"/>
    <x v="1"/>
    <s v="Semester 2"/>
    <n v="201810"/>
    <n v="0"/>
    <n v="0"/>
    <n v="0"/>
    <n v="0"/>
    <n v="0"/>
    <n v="0"/>
    <n v="0"/>
    <n v="0"/>
    <n v="0"/>
    <n v="0"/>
    <n v="0"/>
    <n v="0"/>
    <n v="0"/>
    <n v="0"/>
    <n v="0"/>
    <n v="0"/>
    <n v="0"/>
  </r>
  <r>
    <s v="KALIMANTAN TENGAH"/>
    <x v="2"/>
    <n v="333"/>
    <x v="1"/>
    <s v="Semester 2"/>
    <n v="201811"/>
    <n v="0"/>
    <n v="0"/>
    <n v="0"/>
    <n v="0"/>
    <n v="0"/>
    <n v="0"/>
    <n v="0"/>
    <n v="0"/>
    <n v="0"/>
    <n v="0"/>
    <n v="0"/>
    <n v="0"/>
    <n v="0"/>
    <n v="0"/>
    <n v="0"/>
    <n v="0"/>
    <n v="0"/>
  </r>
  <r>
    <s v="KALIMANTAN TENGAH"/>
    <x v="2"/>
    <n v="333"/>
    <x v="1"/>
    <s v="Semester 2"/>
    <n v="201812"/>
    <n v="0"/>
    <n v="0"/>
    <n v="0"/>
    <n v="0"/>
    <n v="0"/>
    <n v="0"/>
    <n v="0"/>
    <n v="0"/>
    <n v="0"/>
    <n v="0"/>
    <n v="0"/>
    <n v="0"/>
    <n v="0"/>
    <n v="0"/>
    <n v="0"/>
    <n v="0"/>
    <n v="0"/>
  </r>
  <r>
    <s v="KALIMANTAN TENGAH"/>
    <x v="3"/>
    <n v="338"/>
    <x v="0"/>
    <s v="Semester 2"/>
    <n v="201807"/>
    <n v="0"/>
    <n v="0"/>
    <n v="0"/>
    <n v="0"/>
    <n v="0"/>
    <n v="0"/>
    <n v="0"/>
    <n v="0"/>
    <n v="0"/>
    <n v="0"/>
    <n v="0"/>
    <n v="0"/>
    <n v="0"/>
    <n v="0"/>
    <n v="0"/>
    <n v="0"/>
    <n v="0"/>
  </r>
  <r>
    <s v="KALIMANTAN TENGAH"/>
    <x v="3"/>
    <n v="338"/>
    <x v="0"/>
    <s v="Semester 2"/>
    <n v="201808"/>
    <n v="0"/>
    <n v="0"/>
    <n v="0"/>
    <n v="0"/>
    <n v="0"/>
    <n v="0"/>
    <n v="0"/>
    <n v="0"/>
    <n v="0"/>
    <n v="0"/>
    <n v="0"/>
    <n v="0"/>
    <n v="0"/>
    <n v="0"/>
    <n v="0"/>
    <n v="0"/>
    <n v="0"/>
  </r>
  <r>
    <s v="KALIMANTAN TENGAH"/>
    <x v="3"/>
    <n v="338"/>
    <x v="0"/>
    <s v="Semester 2"/>
    <n v="201809"/>
    <n v="0"/>
    <n v="0"/>
    <n v="0"/>
    <n v="0"/>
    <n v="0"/>
    <n v="0"/>
    <n v="0"/>
    <n v="0"/>
    <n v="0"/>
    <n v="0"/>
    <n v="0"/>
    <n v="0"/>
    <n v="0"/>
    <n v="0"/>
    <n v="0"/>
    <n v="0"/>
    <n v="0"/>
  </r>
  <r>
    <s v="KALIMANTAN TENGAH"/>
    <x v="3"/>
    <n v="338"/>
    <x v="0"/>
    <s v="Semester 2"/>
    <n v="201810"/>
    <n v="0"/>
    <n v="0"/>
    <n v="0"/>
    <n v="0"/>
    <n v="0"/>
    <n v="0"/>
    <n v="0"/>
    <n v="0"/>
    <n v="0"/>
    <n v="0"/>
    <n v="0"/>
    <n v="0"/>
    <n v="0"/>
    <n v="0"/>
    <n v="0"/>
    <n v="0"/>
    <n v="0"/>
  </r>
  <r>
    <s v="KALIMANTAN TENGAH"/>
    <x v="3"/>
    <n v="338"/>
    <x v="0"/>
    <s v="Semester 2"/>
    <n v="201811"/>
    <n v="0"/>
    <n v="0"/>
    <n v="0"/>
    <n v="0"/>
    <n v="0"/>
    <n v="0"/>
    <n v="0"/>
    <n v="0"/>
    <n v="0"/>
    <n v="0"/>
    <n v="0"/>
    <n v="0"/>
    <n v="0"/>
    <n v="0"/>
    <n v="0"/>
    <n v="0"/>
    <n v="0"/>
  </r>
  <r>
    <s v="KALIMANTAN TENGAH"/>
    <x v="3"/>
    <n v="338"/>
    <x v="0"/>
    <s v="Semester 2"/>
    <n v="201812"/>
    <n v="0"/>
    <n v="0"/>
    <n v="0"/>
    <n v="0"/>
    <n v="0"/>
    <n v="0"/>
    <n v="0"/>
    <n v="0"/>
    <n v="0"/>
    <n v="0"/>
    <n v="0"/>
    <n v="0"/>
    <n v="0"/>
    <n v="0"/>
    <n v="0"/>
    <n v="0"/>
    <n v="0"/>
  </r>
  <r>
    <s v="KALIMANTAN TENGAH"/>
    <x v="3"/>
    <n v="338"/>
    <x v="1"/>
    <s v="Semester 2"/>
    <n v="201807"/>
    <n v="0"/>
    <n v="0"/>
    <n v="0"/>
    <n v="0"/>
    <n v="0"/>
    <n v="0"/>
    <n v="0"/>
    <n v="0"/>
    <n v="0"/>
    <n v="0"/>
    <n v="0"/>
    <n v="0"/>
    <n v="0"/>
    <n v="0"/>
    <n v="0"/>
    <n v="0"/>
    <n v="0"/>
  </r>
  <r>
    <s v="KALIMANTAN TENGAH"/>
    <x v="3"/>
    <n v="338"/>
    <x v="1"/>
    <s v="Semester 2"/>
    <n v="201808"/>
    <n v="0"/>
    <n v="0"/>
    <n v="0"/>
    <n v="0"/>
    <n v="0"/>
    <n v="0"/>
    <n v="0"/>
    <n v="0"/>
    <n v="0"/>
    <n v="0"/>
    <n v="0"/>
    <n v="0"/>
    <n v="0"/>
    <n v="0"/>
    <n v="0"/>
    <n v="0"/>
    <n v="0"/>
  </r>
  <r>
    <s v="KALIMANTAN TENGAH"/>
    <x v="3"/>
    <n v="338"/>
    <x v="1"/>
    <s v="Semester 2"/>
    <n v="201809"/>
    <n v="0"/>
    <n v="0"/>
    <n v="0"/>
    <n v="0"/>
    <n v="0"/>
    <n v="0"/>
    <n v="0"/>
    <n v="0"/>
    <n v="0"/>
    <n v="0"/>
    <n v="0"/>
    <n v="0"/>
    <n v="0"/>
    <n v="0"/>
    <n v="0"/>
    <n v="0"/>
    <n v="0"/>
  </r>
  <r>
    <s v="KALIMANTAN TENGAH"/>
    <x v="3"/>
    <n v="338"/>
    <x v="1"/>
    <s v="Semester 2"/>
    <n v="201810"/>
    <n v="0"/>
    <n v="0"/>
    <n v="0"/>
    <n v="0"/>
    <n v="0"/>
    <n v="0"/>
    <n v="0"/>
    <n v="0"/>
    <n v="0"/>
    <n v="0"/>
    <n v="0"/>
    <n v="0"/>
    <n v="0"/>
    <n v="0"/>
    <n v="0"/>
    <n v="0"/>
    <n v="0"/>
  </r>
  <r>
    <s v="KALIMANTAN TENGAH"/>
    <x v="3"/>
    <n v="338"/>
    <x v="1"/>
    <s v="Semester 2"/>
    <n v="201811"/>
    <n v="0"/>
    <n v="0"/>
    <n v="0"/>
    <n v="0"/>
    <n v="0"/>
    <n v="0"/>
    <n v="0"/>
    <n v="0"/>
    <n v="0"/>
    <n v="0"/>
    <n v="0"/>
    <n v="0"/>
    <n v="0"/>
    <n v="0"/>
    <n v="0"/>
    <n v="0"/>
    <n v="0"/>
  </r>
  <r>
    <s v="KALIMANTAN TENGAH"/>
    <x v="3"/>
    <n v="338"/>
    <x v="1"/>
    <s v="Semester 2"/>
    <n v="201812"/>
    <n v="0"/>
    <n v="0"/>
    <n v="0"/>
    <n v="0"/>
    <n v="0"/>
    <n v="0"/>
    <n v="0"/>
    <n v="0"/>
    <n v="0"/>
    <n v="0"/>
    <n v="0"/>
    <n v="0"/>
    <n v="0"/>
    <n v="0"/>
    <n v="0"/>
    <n v="0"/>
    <n v="0"/>
  </r>
  <r>
    <s v="KALIMANTAN TENGAH"/>
    <x v="4"/>
    <n v="331"/>
    <x v="0"/>
    <s v="Semester 2"/>
    <n v="201807"/>
    <n v="0"/>
    <n v="0"/>
    <n v="0"/>
    <n v="0"/>
    <n v="0"/>
    <n v="0"/>
    <n v="0"/>
    <n v="0"/>
    <n v="0"/>
    <n v="0"/>
    <n v="0"/>
    <n v="0"/>
    <n v="0"/>
    <n v="0"/>
    <n v="0"/>
    <n v="0"/>
    <n v="0"/>
  </r>
  <r>
    <s v="KALIMANTAN TENGAH"/>
    <x v="4"/>
    <n v="331"/>
    <x v="0"/>
    <s v="Semester 2"/>
    <n v="201808"/>
    <n v="0"/>
    <n v="0"/>
    <n v="0"/>
    <n v="0"/>
    <n v="0"/>
    <n v="0"/>
    <n v="0"/>
    <n v="0"/>
    <n v="0"/>
    <n v="0"/>
    <n v="0"/>
    <n v="0"/>
    <n v="0"/>
    <n v="0"/>
    <n v="0"/>
    <n v="0"/>
    <n v="0"/>
  </r>
  <r>
    <s v="KALIMANTAN TENGAH"/>
    <x v="4"/>
    <n v="331"/>
    <x v="0"/>
    <s v="Semester 2"/>
    <n v="201809"/>
    <n v="0"/>
    <n v="0"/>
    <n v="0"/>
    <n v="0"/>
    <n v="0"/>
    <n v="0"/>
    <n v="0"/>
    <n v="0"/>
    <n v="0"/>
    <n v="0"/>
    <n v="0"/>
    <n v="0"/>
    <n v="0"/>
    <n v="0"/>
    <n v="0"/>
    <n v="0"/>
    <n v="0"/>
  </r>
  <r>
    <s v="KALIMANTAN TENGAH"/>
    <x v="4"/>
    <n v="331"/>
    <x v="0"/>
    <s v="Semester 2"/>
    <n v="201810"/>
    <n v="0"/>
    <n v="0"/>
    <n v="0"/>
    <n v="0"/>
    <n v="0"/>
    <n v="0"/>
    <n v="0"/>
    <n v="0"/>
    <n v="0"/>
    <n v="0"/>
    <n v="0"/>
    <n v="0"/>
    <n v="0"/>
    <n v="0"/>
    <n v="0"/>
    <n v="0"/>
    <n v="0"/>
  </r>
  <r>
    <s v="KALIMANTAN TENGAH"/>
    <x v="4"/>
    <n v="331"/>
    <x v="0"/>
    <s v="Semester 2"/>
    <n v="201811"/>
    <n v="0"/>
    <n v="0"/>
    <n v="0"/>
    <n v="0"/>
    <n v="0"/>
    <n v="0"/>
    <n v="0"/>
    <n v="0"/>
    <n v="0"/>
    <n v="0"/>
    <n v="0"/>
    <n v="0"/>
    <n v="0"/>
    <n v="0"/>
    <n v="0"/>
    <n v="0"/>
    <n v="0"/>
  </r>
  <r>
    <s v="KALIMANTAN TENGAH"/>
    <x v="4"/>
    <n v="331"/>
    <x v="0"/>
    <s v="Semester 2"/>
    <n v="201812"/>
    <n v="0"/>
    <n v="0"/>
    <n v="0"/>
    <n v="0"/>
    <n v="0"/>
    <n v="0"/>
    <n v="0"/>
    <n v="0"/>
    <n v="0"/>
    <n v="0"/>
    <n v="0"/>
    <n v="0"/>
    <n v="0"/>
    <n v="0"/>
    <n v="0"/>
    <n v="0"/>
    <n v="0"/>
  </r>
  <r>
    <s v="KALIMANTAN TENGAH"/>
    <x v="4"/>
    <n v="331"/>
    <x v="1"/>
    <s v="Semester 2"/>
    <n v="201807"/>
    <n v="0"/>
    <n v="0"/>
    <n v="0"/>
    <n v="0"/>
    <n v="0"/>
    <n v="0"/>
    <n v="0"/>
    <n v="0"/>
    <n v="0"/>
    <n v="0"/>
    <n v="0"/>
    <n v="0"/>
    <n v="0"/>
    <n v="0"/>
    <n v="0"/>
    <n v="0"/>
    <n v="0"/>
  </r>
  <r>
    <s v="KALIMANTAN TENGAH"/>
    <x v="4"/>
    <n v="331"/>
    <x v="1"/>
    <s v="Semester 2"/>
    <n v="201808"/>
    <n v="0"/>
    <n v="0"/>
    <n v="0"/>
    <n v="0"/>
    <n v="0"/>
    <n v="0"/>
    <n v="0"/>
    <n v="0"/>
    <n v="0"/>
    <n v="0"/>
    <n v="0"/>
    <n v="0"/>
    <n v="0"/>
    <n v="0"/>
    <n v="0"/>
    <n v="0"/>
    <n v="0"/>
  </r>
  <r>
    <s v="KALIMANTAN TENGAH"/>
    <x v="4"/>
    <n v="331"/>
    <x v="1"/>
    <s v="Semester 2"/>
    <n v="201809"/>
    <n v="0"/>
    <n v="0"/>
    <n v="0"/>
    <n v="0"/>
    <n v="0"/>
    <n v="0"/>
    <n v="0"/>
    <n v="0"/>
    <n v="0"/>
    <n v="0"/>
    <n v="0"/>
    <n v="0"/>
    <n v="0"/>
    <n v="0"/>
    <n v="0"/>
    <n v="0"/>
    <n v="0"/>
  </r>
  <r>
    <s v="KALIMANTAN TENGAH"/>
    <x v="4"/>
    <n v="331"/>
    <x v="1"/>
    <s v="Semester 2"/>
    <n v="201810"/>
    <n v="0"/>
    <n v="0"/>
    <n v="0"/>
    <n v="0"/>
    <n v="0"/>
    <n v="0"/>
    <n v="0"/>
    <n v="0"/>
    <n v="0"/>
    <n v="0"/>
    <n v="0"/>
    <n v="0"/>
    <n v="0"/>
    <n v="0"/>
    <n v="0"/>
    <n v="0"/>
    <n v="0"/>
  </r>
  <r>
    <s v="KALIMANTAN TENGAH"/>
    <x v="4"/>
    <n v="331"/>
    <x v="1"/>
    <s v="Semester 2"/>
    <n v="201811"/>
    <n v="0"/>
    <n v="0"/>
    <n v="0"/>
    <n v="0"/>
    <n v="0"/>
    <n v="0"/>
    <n v="0"/>
    <n v="0"/>
    <n v="0"/>
    <n v="0"/>
    <n v="0"/>
    <n v="0"/>
    <n v="0"/>
    <n v="0"/>
    <n v="0"/>
    <n v="0"/>
    <n v="0"/>
  </r>
  <r>
    <s v="KALIMANTAN TENGAH"/>
    <x v="4"/>
    <n v="331"/>
    <x v="1"/>
    <s v="Semester 2"/>
    <n v="201812"/>
    <n v="0"/>
    <n v="0"/>
    <n v="0"/>
    <n v="0"/>
    <n v="0"/>
    <n v="0"/>
    <n v="0"/>
    <n v="0"/>
    <n v="0"/>
    <n v="0"/>
    <n v="0"/>
    <n v="0"/>
    <n v="0"/>
    <n v="0"/>
    <n v="0"/>
    <n v="0"/>
    <n v="0"/>
  </r>
  <r>
    <s v="KALIMANTAN TENGAH"/>
    <x v="5"/>
    <n v="334"/>
    <x v="0"/>
    <s v="Semester 2"/>
    <n v="201807"/>
    <n v="0"/>
    <n v="0"/>
    <n v="0"/>
    <n v="0"/>
    <n v="0"/>
    <n v="0"/>
    <n v="0"/>
    <n v="0"/>
    <n v="0"/>
    <n v="0"/>
    <n v="0"/>
    <n v="0"/>
    <n v="0"/>
    <n v="0"/>
    <n v="0"/>
    <n v="0"/>
    <n v="0"/>
  </r>
  <r>
    <s v="KALIMANTAN TENGAH"/>
    <x v="5"/>
    <n v="334"/>
    <x v="0"/>
    <s v="Semester 2"/>
    <n v="201808"/>
    <n v="0"/>
    <n v="0"/>
    <n v="0"/>
    <n v="0"/>
    <n v="0"/>
    <n v="0"/>
    <n v="0"/>
    <n v="0"/>
    <n v="0"/>
    <n v="0"/>
    <n v="0"/>
    <n v="0"/>
    <n v="0"/>
    <n v="0"/>
    <n v="0"/>
    <n v="0"/>
    <n v="0"/>
  </r>
  <r>
    <s v="KALIMANTAN TENGAH"/>
    <x v="5"/>
    <n v="334"/>
    <x v="0"/>
    <s v="Semester 2"/>
    <n v="201809"/>
    <n v="0"/>
    <n v="0"/>
    <n v="0"/>
    <n v="0"/>
    <n v="0"/>
    <n v="0"/>
    <n v="0"/>
    <n v="0"/>
    <n v="0"/>
    <n v="0"/>
    <n v="0"/>
    <n v="0"/>
    <n v="0"/>
    <n v="0"/>
    <n v="0"/>
    <n v="0"/>
    <n v="0"/>
  </r>
  <r>
    <s v="KALIMANTAN TENGAH"/>
    <x v="5"/>
    <n v="334"/>
    <x v="0"/>
    <s v="Semester 2"/>
    <n v="201810"/>
    <n v="0"/>
    <n v="0"/>
    <n v="0"/>
    <n v="0"/>
    <n v="0"/>
    <n v="0"/>
    <n v="0"/>
    <n v="0"/>
    <n v="0"/>
    <n v="0"/>
    <n v="0"/>
    <n v="0"/>
    <n v="0"/>
    <n v="0"/>
    <n v="0"/>
    <n v="0"/>
    <n v="0"/>
  </r>
  <r>
    <s v="KALIMANTAN TENGAH"/>
    <x v="5"/>
    <n v="334"/>
    <x v="0"/>
    <s v="Semester 2"/>
    <n v="201811"/>
    <n v="0"/>
    <n v="0"/>
    <n v="0"/>
    <n v="0"/>
    <n v="0"/>
    <n v="0"/>
    <n v="0"/>
    <n v="0"/>
    <n v="0"/>
    <n v="0"/>
    <n v="0"/>
    <n v="0"/>
    <n v="0"/>
    <n v="0"/>
    <n v="0"/>
    <n v="0"/>
    <n v="0"/>
  </r>
  <r>
    <s v="KALIMANTAN TENGAH"/>
    <x v="5"/>
    <n v="334"/>
    <x v="0"/>
    <s v="Semester 2"/>
    <n v="201812"/>
    <n v="0"/>
    <n v="0"/>
    <n v="0"/>
    <n v="0"/>
    <n v="0"/>
    <n v="0"/>
    <n v="0"/>
    <n v="0"/>
    <n v="0"/>
    <n v="0"/>
    <n v="0"/>
    <n v="0"/>
    <n v="0"/>
    <n v="0"/>
    <n v="0"/>
    <n v="0"/>
    <n v="0"/>
  </r>
  <r>
    <s v="KALIMANTAN TENGAH"/>
    <x v="5"/>
    <n v="334"/>
    <x v="1"/>
    <s v="Semester 2"/>
    <n v="201807"/>
    <n v="0"/>
    <n v="0"/>
    <n v="0"/>
    <n v="0"/>
    <n v="0"/>
    <n v="0"/>
    <n v="0"/>
    <n v="0"/>
    <n v="0"/>
    <n v="0"/>
    <n v="0"/>
    <n v="0"/>
    <n v="0"/>
    <n v="0"/>
    <n v="0"/>
    <n v="0"/>
    <n v="0"/>
  </r>
  <r>
    <s v="KALIMANTAN TENGAH"/>
    <x v="5"/>
    <n v="334"/>
    <x v="1"/>
    <s v="Semester 2"/>
    <n v="201808"/>
    <n v="0"/>
    <n v="0"/>
    <n v="0"/>
    <n v="0"/>
    <n v="0"/>
    <n v="0"/>
    <n v="0"/>
    <n v="0"/>
    <n v="0"/>
    <n v="0"/>
    <n v="0"/>
    <n v="0"/>
    <n v="0"/>
    <n v="0"/>
    <n v="0"/>
    <n v="0"/>
    <n v="0"/>
  </r>
  <r>
    <s v="KALIMANTAN TENGAH"/>
    <x v="5"/>
    <n v="334"/>
    <x v="1"/>
    <s v="Semester 2"/>
    <n v="201809"/>
    <n v="0"/>
    <n v="0"/>
    <n v="0"/>
    <n v="0"/>
    <n v="0"/>
    <n v="0"/>
    <n v="0"/>
    <n v="0"/>
    <n v="0"/>
    <n v="0"/>
    <n v="0"/>
    <n v="0"/>
    <n v="0"/>
    <n v="0"/>
    <n v="0"/>
    <n v="0"/>
    <n v="0"/>
  </r>
  <r>
    <s v="KALIMANTAN TENGAH"/>
    <x v="5"/>
    <n v="334"/>
    <x v="1"/>
    <s v="Semester 2"/>
    <n v="201810"/>
    <n v="0"/>
    <n v="0"/>
    <n v="0"/>
    <n v="0"/>
    <n v="0"/>
    <n v="0"/>
    <n v="0"/>
    <n v="0"/>
    <n v="0"/>
    <n v="0"/>
    <n v="0"/>
    <n v="0"/>
    <n v="0"/>
    <n v="0"/>
    <n v="0"/>
    <n v="0"/>
    <n v="0"/>
  </r>
  <r>
    <s v="KALIMANTAN TENGAH"/>
    <x v="5"/>
    <n v="334"/>
    <x v="1"/>
    <s v="Semester 2"/>
    <n v="201811"/>
    <n v="0"/>
    <n v="0"/>
    <n v="0"/>
    <n v="0"/>
    <n v="0"/>
    <n v="0"/>
    <n v="0"/>
    <n v="0"/>
    <n v="0"/>
    <n v="0"/>
    <n v="0"/>
    <n v="0"/>
    <n v="0"/>
    <n v="0"/>
    <n v="0"/>
    <n v="0"/>
    <n v="0"/>
  </r>
  <r>
    <s v="KALIMANTAN TENGAH"/>
    <x v="5"/>
    <n v="334"/>
    <x v="1"/>
    <s v="Semester 2"/>
    <n v="201812"/>
    <n v="0"/>
    <n v="0"/>
    <n v="0"/>
    <n v="0"/>
    <n v="0"/>
    <n v="0"/>
    <n v="0"/>
    <n v="0"/>
    <n v="0"/>
    <n v="0"/>
    <n v="0"/>
    <n v="0"/>
    <n v="0"/>
    <n v="0"/>
    <n v="0"/>
    <n v="0"/>
    <n v="0"/>
  </r>
  <r>
    <s v="KALIMANTAN TENGAH"/>
    <x v="6"/>
    <n v="329"/>
    <x v="0"/>
    <s v="Semester 2"/>
    <n v="201807"/>
    <n v="0"/>
    <n v="0"/>
    <n v="0"/>
    <n v="0"/>
    <n v="0"/>
    <n v="0"/>
    <n v="0"/>
    <n v="0"/>
    <n v="0"/>
    <n v="0"/>
    <n v="0"/>
    <n v="0"/>
    <n v="0"/>
    <n v="0"/>
    <n v="0"/>
    <n v="0"/>
    <n v="0"/>
  </r>
  <r>
    <s v="KALIMANTAN TENGAH"/>
    <x v="6"/>
    <n v="329"/>
    <x v="0"/>
    <s v="Semester 2"/>
    <n v="201808"/>
    <n v="0"/>
    <n v="0"/>
    <n v="0"/>
    <n v="0"/>
    <n v="0"/>
    <n v="0"/>
    <n v="0"/>
    <n v="0"/>
    <n v="0"/>
    <n v="0"/>
    <n v="0"/>
    <n v="0"/>
    <n v="0"/>
    <n v="0"/>
    <n v="0"/>
    <n v="0"/>
    <n v="0"/>
  </r>
  <r>
    <s v="KALIMANTAN TENGAH"/>
    <x v="6"/>
    <n v="329"/>
    <x v="0"/>
    <s v="Semester 2"/>
    <n v="201809"/>
    <n v="0"/>
    <n v="0"/>
    <n v="0"/>
    <n v="0"/>
    <n v="0"/>
    <n v="0"/>
    <n v="0"/>
    <n v="0"/>
    <n v="0"/>
    <n v="0"/>
    <n v="0"/>
    <n v="0"/>
    <n v="0"/>
    <n v="0"/>
    <n v="0"/>
    <n v="0"/>
    <n v="0"/>
  </r>
  <r>
    <s v="KALIMANTAN TENGAH"/>
    <x v="6"/>
    <n v="329"/>
    <x v="0"/>
    <s v="Semester 2"/>
    <n v="201810"/>
    <n v="0"/>
    <n v="0"/>
    <n v="0"/>
    <n v="0"/>
    <n v="0"/>
    <n v="0"/>
    <n v="0"/>
    <n v="0"/>
    <n v="0"/>
    <n v="0"/>
    <n v="0"/>
    <n v="0"/>
    <n v="0"/>
    <n v="0"/>
    <n v="0"/>
    <n v="0"/>
    <n v="0"/>
  </r>
  <r>
    <s v="KALIMANTAN TENGAH"/>
    <x v="6"/>
    <n v="329"/>
    <x v="0"/>
    <s v="Semester 2"/>
    <n v="201811"/>
    <n v="0"/>
    <n v="0"/>
    <n v="0"/>
    <n v="0"/>
    <n v="0"/>
    <n v="0"/>
    <n v="0"/>
    <n v="0"/>
    <n v="0"/>
    <n v="0"/>
    <n v="0"/>
    <n v="0"/>
    <n v="0"/>
    <n v="0"/>
    <n v="0"/>
    <n v="0"/>
    <n v="0"/>
  </r>
  <r>
    <s v="KALIMANTAN TENGAH"/>
    <x v="6"/>
    <n v="329"/>
    <x v="0"/>
    <s v="Semester 2"/>
    <n v="201812"/>
    <n v="0"/>
    <n v="0"/>
    <n v="0"/>
    <n v="0"/>
    <n v="0"/>
    <n v="0"/>
    <n v="0"/>
    <n v="0"/>
    <n v="0"/>
    <n v="0"/>
    <n v="0"/>
    <n v="0"/>
    <n v="0"/>
    <n v="0"/>
    <n v="0"/>
    <n v="0"/>
    <n v="0"/>
  </r>
  <r>
    <s v="KALIMANTAN TENGAH"/>
    <x v="6"/>
    <n v="329"/>
    <x v="1"/>
    <s v="Semester 2"/>
    <n v="201807"/>
    <n v="3"/>
    <n v="0"/>
    <n v="0"/>
    <n v="0"/>
    <n v="0"/>
    <n v="3"/>
    <n v="0"/>
    <n v="0"/>
    <n v="3"/>
    <n v="0"/>
    <n v="0"/>
    <n v="0"/>
    <n v="0"/>
    <n v="0"/>
    <n v="0"/>
    <n v="0"/>
    <n v="0"/>
  </r>
  <r>
    <s v="KALIMANTAN TENGAH"/>
    <x v="6"/>
    <n v="329"/>
    <x v="1"/>
    <s v="Semester 2"/>
    <n v="201808"/>
    <n v="3"/>
    <n v="0"/>
    <n v="0"/>
    <n v="0"/>
    <n v="0"/>
    <n v="3"/>
    <n v="0"/>
    <n v="0"/>
    <n v="3"/>
    <n v="0"/>
    <n v="0"/>
    <n v="0"/>
    <n v="0"/>
    <n v="0"/>
    <n v="0"/>
    <n v="0"/>
    <n v="0"/>
  </r>
  <r>
    <s v="KALIMANTAN TENGAH"/>
    <x v="6"/>
    <n v="329"/>
    <x v="1"/>
    <s v="Semester 2"/>
    <n v="201809"/>
    <n v="3"/>
    <n v="0"/>
    <n v="0"/>
    <n v="0"/>
    <n v="0"/>
    <n v="3"/>
    <n v="0"/>
    <n v="0"/>
    <n v="3"/>
    <n v="0"/>
    <n v="0"/>
    <n v="0"/>
    <n v="0"/>
    <n v="0"/>
    <n v="0"/>
    <n v="0"/>
    <n v="0"/>
  </r>
  <r>
    <s v="KALIMANTAN TENGAH"/>
    <x v="6"/>
    <n v="329"/>
    <x v="1"/>
    <s v="Semester 2"/>
    <n v="201810"/>
    <n v="3"/>
    <n v="0"/>
    <n v="0"/>
    <n v="0"/>
    <n v="0"/>
    <n v="3"/>
    <n v="0"/>
    <n v="0"/>
    <n v="3"/>
    <n v="0"/>
    <n v="0"/>
    <n v="0"/>
    <n v="0"/>
    <n v="0"/>
    <n v="0"/>
    <n v="0"/>
    <n v="0"/>
  </r>
  <r>
    <s v="KALIMANTAN TENGAH"/>
    <x v="6"/>
    <n v="329"/>
    <x v="1"/>
    <s v="Semester 2"/>
    <n v="201811"/>
    <n v="3"/>
    <n v="0"/>
    <n v="0"/>
    <n v="0"/>
    <n v="0"/>
    <n v="3"/>
    <n v="0"/>
    <n v="0"/>
    <n v="3"/>
    <n v="0"/>
    <n v="0"/>
    <n v="0"/>
    <n v="0"/>
    <n v="0"/>
    <n v="0"/>
    <n v="0"/>
    <n v="0"/>
  </r>
  <r>
    <s v="KALIMANTAN TENGAH"/>
    <x v="6"/>
    <n v="329"/>
    <x v="1"/>
    <s v="Semester 2"/>
    <n v="201812"/>
    <n v="3"/>
    <n v="0"/>
    <n v="0"/>
    <n v="0"/>
    <n v="0"/>
    <n v="3"/>
    <n v="0"/>
    <n v="0"/>
    <n v="3"/>
    <n v="0"/>
    <n v="0"/>
    <n v="0"/>
    <n v="0"/>
    <n v="0"/>
    <n v="0"/>
    <n v="0"/>
    <n v="0"/>
  </r>
  <r>
    <s v="KALIMANTAN TENGAH"/>
    <x v="7"/>
    <n v="330"/>
    <x v="0"/>
    <s v="Semester 2"/>
    <n v="201807"/>
    <n v="0"/>
    <n v="0"/>
    <n v="0"/>
    <n v="0"/>
    <n v="0"/>
    <n v="0"/>
    <n v="0"/>
    <n v="0"/>
    <n v="0"/>
    <n v="0"/>
    <n v="0"/>
    <n v="0"/>
    <n v="0"/>
    <n v="0"/>
    <n v="0"/>
    <n v="0"/>
    <n v="0"/>
  </r>
  <r>
    <s v="KALIMANTAN TENGAH"/>
    <x v="7"/>
    <n v="330"/>
    <x v="0"/>
    <s v="Semester 2"/>
    <n v="201808"/>
    <n v="0"/>
    <n v="0"/>
    <n v="0"/>
    <n v="0"/>
    <n v="0"/>
    <n v="0"/>
    <n v="0"/>
    <n v="0"/>
    <n v="0"/>
    <n v="0"/>
    <n v="0"/>
    <n v="0"/>
    <n v="0"/>
    <n v="0"/>
    <n v="0"/>
    <n v="0"/>
    <n v="0"/>
  </r>
  <r>
    <s v="KALIMANTAN TENGAH"/>
    <x v="7"/>
    <n v="330"/>
    <x v="0"/>
    <s v="Semester 2"/>
    <n v="201809"/>
    <n v="0"/>
    <n v="0"/>
    <n v="0"/>
    <n v="0"/>
    <n v="0"/>
    <n v="0"/>
    <n v="0"/>
    <n v="0"/>
    <n v="0"/>
    <n v="0"/>
    <n v="0"/>
    <n v="0"/>
    <n v="0"/>
    <n v="0"/>
    <n v="0"/>
    <n v="0"/>
    <n v="0"/>
  </r>
  <r>
    <s v="KALIMANTAN TENGAH"/>
    <x v="7"/>
    <n v="330"/>
    <x v="0"/>
    <s v="Semester 2"/>
    <n v="201810"/>
    <n v="0"/>
    <n v="0"/>
    <n v="0"/>
    <n v="0"/>
    <n v="0"/>
    <n v="0"/>
    <n v="0"/>
    <n v="0"/>
    <n v="0"/>
    <n v="0"/>
    <n v="0"/>
    <n v="0"/>
    <n v="0"/>
    <n v="0"/>
    <n v="0"/>
    <n v="0"/>
    <n v="0"/>
  </r>
  <r>
    <s v="KALIMANTAN TENGAH"/>
    <x v="7"/>
    <n v="330"/>
    <x v="0"/>
    <s v="Semester 2"/>
    <n v="201811"/>
    <n v="0"/>
    <n v="0"/>
    <n v="0"/>
    <n v="0"/>
    <n v="0"/>
    <n v="0"/>
    <n v="0"/>
    <n v="0"/>
    <n v="0"/>
    <n v="0"/>
    <n v="0"/>
    <n v="0"/>
    <n v="0"/>
    <n v="0"/>
    <n v="0"/>
    <n v="0"/>
    <n v="0"/>
  </r>
  <r>
    <s v="KALIMANTAN TENGAH"/>
    <x v="7"/>
    <n v="330"/>
    <x v="0"/>
    <s v="Semester 2"/>
    <n v="201812"/>
    <n v="0"/>
    <n v="0"/>
    <n v="0"/>
    <n v="0"/>
    <n v="0"/>
    <n v="0"/>
    <n v="0"/>
    <n v="0"/>
    <n v="0"/>
    <n v="0"/>
    <n v="0"/>
    <n v="0"/>
    <n v="0"/>
    <n v="0"/>
    <n v="0"/>
    <n v="0"/>
    <n v="0"/>
  </r>
  <r>
    <s v="KALIMANTAN TENGAH"/>
    <x v="7"/>
    <n v="330"/>
    <x v="1"/>
    <s v="Semester 2"/>
    <n v="201807"/>
    <n v="0"/>
    <n v="0"/>
    <n v="0"/>
    <n v="0"/>
    <n v="0"/>
    <n v="0"/>
    <n v="0"/>
    <n v="0"/>
    <n v="0"/>
    <n v="0"/>
    <n v="0"/>
    <n v="0"/>
    <n v="0"/>
    <n v="0"/>
    <n v="0"/>
    <n v="0"/>
    <n v="0"/>
  </r>
  <r>
    <s v="KALIMANTAN TENGAH"/>
    <x v="7"/>
    <n v="330"/>
    <x v="1"/>
    <s v="Semester 2"/>
    <n v="201808"/>
    <n v="0"/>
    <n v="0"/>
    <n v="0"/>
    <n v="0"/>
    <n v="0"/>
    <n v="0"/>
    <n v="0"/>
    <n v="0"/>
    <n v="0"/>
    <n v="0"/>
    <n v="0"/>
    <n v="0"/>
    <n v="0"/>
    <n v="0"/>
    <n v="0"/>
    <n v="0"/>
    <n v="0"/>
  </r>
  <r>
    <s v="KALIMANTAN TENGAH"/>
    <x v="7"/>
    <n v="330"/>
    <x v="1"/>
    <s v="Semester 2"/>
    <n v="201809"/>
    <n v="0"/>
    <n v="0"/>
    <n v="0"/>
    <n v="0"/>
    <n v="0"/>
    <n v="0"/>
    <n v="0"/>
    <n v="0"/>
    <n v="0"/>
    <n v="0"/>
    <n v="0"/>
    <n v="0"/>
    <n v="0"/>
    <n v="0"/>
    <n v="0"/>
    <n v="0"/>
    <n v="0"/>
  </r>
  <r>
    <s v="KALIMANTAN TENGAH"/>
    <x v="7"/>
    <n v="330"/>
    <x v="1"/>
    <s v="Semester 2"/>
    <n v="201810"/>
    <n v="0"/>
    <n v="0"/>
    <n v="0"/>
    <n v="0"/>
    <n v="0"/>
    <n v="0"/>
    <n v="0"/>
    <n v="0"/>
    <n v="0"/>
    <n v="0"/>
    <n v="0"/>
    <n v="0"/>
    <n v="0"/>
    <n v="0"/>
    <n v="0"/>
    <n v="0"/>
    <n v="0"/>
  </r>
  <r>
    <s v="KALIMANTAN TENGAH"/>
    <x v="7"/>
    <n v="330"/>
    <x v="1"/>
    <s v="Semester 2"/>
    <n v="201811"/>
    <n v="0"/>
    <n v="0"/>
    <n v="0"/>
    <n v="0"/>
    <n v="0"/>
    <n v="0"/>
    <n v="0"/>
    <n v="0"/>
    <n v="0"/>
    <n v="0"/>
    <n v="0"/>
    <n v="0"/>
    <n v="0"/>
    <n v="0"/>
    <n v="0"/>
    <n v="0"/>
    <n v="0"/>
  </r>
  <r>
    <s v="KALIMANTAN TENGAH"/>
    <x v="7"/>
    <n v="330"/>
    <x v="1"/>
    <s v="Semester 2"/>
    <n v="201812"/>
    <n v="0"/>
    <n v="0"/>
    <n v="0"/>
    <n v="0"/>
    <n v="0"/>
    <n v="0"/>
    <n v="0"/>
    <n v="0"/>
    <n v="0"/>
    <n v="0"/>
    <n v="0"/>
    <n v="0"/>
    <n v="0"/>
    <n v="0"/>
    <n v="0"/>
    <n v="0"/>
    <n v="0"/>
  </r>
  <r>
    <s v="KALIMANTAN TENGAH"/>
    <x v="8"/>
    <n v="337"/>
    <x v="0"/>
    <s v="Semester 2"/>
    <n v="201807"/>
    <n v="0"/>
    <n v="0"/>
    <n v="0"/>
    <n v="0"/>
    <n v="0"/>
    <n v="0"/>
    <n v="0"/>
    <n v="0"/>
    <n v="0"/>
    <n v="0"/>
    <n v="0"/>
    <n v="0"/>
    <n v="0"/>
    <n v="0"/>
    <n v="0"/>
    <n v="0"/>
    <n v="0"/>
  </r>
  <r>
    <s v="KALIMANTAN TENGAH"/>
    <x v="8"/>
    <n v="337"/>
    <x v="0"/>
    <s v="Semester 2"/>
    <n v="201808"/>
    <n v="0"/>
    <n v="0"/>
    <n v="0"/>
    <n v="0"/>
    <n v="0"/>
    <n v="0"/>
    <n v="0"/>
    <n v="0"/>
    <n v="0"/>
    <n v="0"/>
    <n v="0"/>
    <n v="0"/>
    <n v="0"/>
    <n v="0"/>
    <n v="0"/>
    <n v="0"/>
    <n v="0"/>
  </r>
  <r>
    <s v="KALIMANTAN TENGAH"/>
    <x v="8"/>
    <n v="337"/>
    <x v="0"/>
    <s v="Semester 2"/>
    <n v="201809"/>
    <n v="0"/>
    <n v="0"/>
    <n v="0"/>
    <n v="0"/>
    <n v="0"/>
    <n v="0"/>
    <n v="0"/>
    <n v="0"/>
    <n v="0"/>
    <n v="0"/>
    <n v="0"/>
    <n v="0"/>
    <n v="0"/>
    <n v="0"/>
    <n v="0"/>
    <n v="0"/>
    <n v="0"/>
  </r>
  <r>
    <s v="KALIMANTAN TENGAH"/>
    <x v="8"/>
    <n v="337"/>
    <x v="0"/>
    <s v="Semester 2"/>
    <n v="201810"/>
    <n v="0"/>
    <n v="0"/>
    <n v="0"/>
    <n v="0"/>
    <n v="0"/>
    <n v="0"/>
    <n v="0"/>
    <n v="0"/>
    <n v="0"/>
    <n v="0"/>
    <n v="0"/>
    <n v="0"/>
    <n v="0"/>
    <n v="0"/>
    <n v="0"/>
    <n v="0"/>
    <n v="0"/>
  </r>
  <r>
    <s v="KALIMANTAN TENGAH"/>
    <x v="8"/>
    <n v="337"/>
    <x v="0"/>
    <s v="Semester 2"/>
    <n v="201811"/>
    <n v="0"/>
    <n v="0"/>
    <n v="0"/>
    <n v="0"/>
    <n v="0"/>
    <n v="0"/>
    <n v="0"/>
    <n v="0"/>
    <n v="0"/>
    <n v="0"/>
    <n v="0"/>
    <n v="0"/>
    <n v="0"/>
    <n v="0"/>
    <n v="0"/>
    <n v="0"/>
    <n v="0"/>
  </r>
  <r>
    <s v="KALIMANTAN TENGAH"/>
    <x v="8"/>
    <n v="337"/>
    <x v="0"/>
    <s v="Semester 2"/>
    <n v="201812"/>
    <n v="0"/>
    <n v="0"/>
    <n v="0"/>
    <n v="0"/>
    <n v="0"/>
    <n v="0"/>
    <n v="0"/>
    <n v="0"/>
    <n v="0"/>
    <n v="0"/>
    <n v="0"/>
    <n v="0"/>
    <n v="0"/>
    <n v="0"/>
    <n v="0"/>
    <n v="0"/>
    <n v="0"/>
  </r>
  <r>
    <s v="KALIMANTAN TENGAH"/>
    <x v="8"/>
    <n v="337"/>
    <x v="1"/>
    <s v="Semester 2"/>
    <n v="201807"/>
    <n v="0"/>
    <n v="0"/>
    <n v="0"/>
    <n v="0"/>
    <n v="0"/>
    <n v="0"/>
    <n v="0"/>
    <n v="0"/>
    <n v="0"/>
    <n v="0"/>
    <n v="0"/>
    <n v="0"/>
    <n v="0"/>
    <n v="0"/>
    <n v="0"/>
    <n v="0"/>
    <n v="0"/>
  </r>
  <r>
    <s v="KALIMANTAN TENGAH"/>
    <x v="8"/>
    <n v="337"/>
    <x v="1"/>
    <s v="Semester 2"/>
    <n v="201808"/>
    <n v="0"/>
    <n v="0"/>
    <n v="0"/>
    <n v="0"/>
    <n v="0"/>
    <n v="0"/>
    <n v="0"/>
    <n v="0"/>
    <n v="0"/>
    <n v="0"/>
    <n v="0"/>
    <n v="0"/>
    <n v="0"/>
    <n v="0"/>
    <n v="0"/>
    <n v="0"/>
    <n v="0"/>
  </r>
  <r>
    <s v="KALIMANTAN TENGAH"/>
    <x v="8"/>
    <n v="337"/>
    <x v="1"/>
    <s v="Semester 2"/>
    <n v="201809"/>
    <n v="0"/>
    <n v="0"/>
    <n v="0"/>
    <n v="0"/>
    <n v="0"/>
    <n v="0"/>
    <n v="0"/>
    <n v="0"/>
    <n v="0"/>
    <n v="0"/>
    <n v="0"/>
    <n v="0"/>
    <n v="0"/>
    <n v="0"/>
    <n v="0"/>
    <n v="0"/>
    <n v="0"/>
  </r>
  <r>
    <s v="KALIMANTAN TENGAH"/>
    <x v="8"/>
    <n v="337"/>
    <x v="1"/>
    <s v="Semester 2"/>
    <n v="201810"/>
    <n v="0"/>
    <n v="0"/>
    <n v="0"/>
    <n v="0"/>
    <n v="0"/>
    <n v="0"/>
    <n v="0"/>
    <n v="0"/>
    <n v="0"/>
    <n v="0"/>
    <n v="0"/>
    <n v="0"/>
    <n v="0"/>
    <n v="0"/>
    <n v="0"/>
    <n v="0"/>
    <n v="0"/>
  </r>
  <r>
    <s v="KALIMANTAN TENGAH"/>
    <x v="8"/>
    <n v="337"/>
    <x v="1"/>
    <s v="Semester 2"/>
    <n v="201811"/>
    <n v="0"/>
    <n v="0"/>
    <n v="0"/>
    <n v="0"/>
    <n v="0"/>
    <n v="0"/>
    <n v="0"/>
    <n v="0"/>
    <n v="0"/>
    <n v="0"/>
    <n v="0"/>
    <n v="0"/>
    <n v="0"/>
    <n v="0"/>
    <n v="0"/>
    <n v="0"/>
    <n v="0"/>
  </r>
  <r>
    <s v="KALIMANTAN TENGAH"/>
    <x v="8"/>
    <n v="337"/>
    <x v="1"/>
    <s v="Semester 2"/>
    <n v="201812"/>
    <n v="0"/>
    <n v="0"/>
    <n v="0"/>
    <n v="0"/>
    <n v="0"/>
    <n v="0"/>
    <n v="0"/>
    <n v="0"/>
    <n v="0"/>
    <n v="0"/>
    <n v="0"/>
    <n v="0"/>
    <n v="0"/>
    <n v="0"/>
    <n v="0"/>
    <n v="0"/>
    <n v="0"/>
  </r>
  <r>
    <s v="KALIMANTAN TENGAH"/>
    <x v="9"/>
    <n v="340"/>
    <x v="0"/>
    <s v="Semester 2"/>
    <n v="201807"/>
    <n v="0"/>
    <n v="0"/>
    <n v="0"/>
    <n v="0"/>
    <n v="0"/>
    <n v="0"/>
    <n v="0"/>
    <n v="0"/>
    <n v="0"/>
    <n v="0"/>
    <n v="0"/>
    <n v="0"/>
    <n v="0"/>
    <n v="0"/>
    <n v="0"/>
    <n v="0"/>
    <n v="0"/>
  </r>
  <r>
    <s v="KALIMANTAN TENGAH"/>
    <x v="9"/>
    <n v="340"/>
    <x v="0"/>
    <s v="Semester 2"/>
    <n v="201808"/>
    <n v="0"/>
    <n v="0"/>
    <n v="0"/>
    <n v="0"/>
    <n v="0"/>
    <n v="0"/>
    <n v="0"/>
    <n v="0"/>
    <n v="0"/>
    <n v="0"/>
    <n v="0"/>
    <n v="0"/>
    <n v="0"/>
    <n v="0"/>
    <n v="0"/>
    <n v="0"/>
    <n v="0"/>
  </r>
  <r>
    <s v="KALIMANTAN TENGAH"/>
    <x v="9"/>
    <n v="340"/>
    <x v="0"/>
    <s v="Semester 2"/>
    <n v="201809"/>
    <n v="0"/>
    <n v="0"/>
    <n v="0"/>
    <n v="0"/>
    <n v="0"/>
    <n v="0"/>
    <n v="0"/>
    <n v="0"/>
    <n v="0"/>
    <n v="0"/>
    <n v="0"/>
    <n v="0"/>
    <n v="0"/>
    <n v="0"/>
    <n v="0"/>
    <n v="0"/>
    <n v="0"/>
  </r>
  <r>
    <s v="KALIMANTAN TENGAH"/>
    <x v="9"/>
    <n v="340"/>
    <x v="0"/>
    <s v="Semester 2"/>
    <n v="201810"/>
    <n v="0"/>
    <n v="0"/>
    <n v="0"/>
    <n v="0"/>
    <n v="0"/>
    <n v="0"/>
    <n v="0"/>
    <n v="0"/>
    <n v="0"/>
    <n v="0"/>
    <n v="0"/>
    <n v="0"/>
    <n v="0"/>
    <n v="0"/>
    <n v="0"/>
    <n v="0"/>
    <n v="0"/>
  </r>
  <r>
    <s v="KALIMANTAN TENGAH"/>
    <x v="9"/>
    <n v="340"/>
    <x v="0"/>
    <s v="Semester 2"/>
    <n v="201811"/>
    <n v="0"/>
    <n v="0"/>
    <n v="0"/>
    <n v="0"/>
    <n v="0"/>
    <n v="0"/>
    <n v="0"/>
    <n v="0"/>
    <n v="0"/>
    <n v="0"/>
    <n v="0"/>
    <n v="0"/>
    <n v="0"/>
    <n v="0"/>
    <n v="0"/>
    <n v="0"/>
    <n v="0"/>
  </r>
  <r>
    <s v="KALIMANTAN TENGAH"/>
    <x v="9"/>
    <n v="340"/>
    <x v="0"/>
    <s v="Semester 2"/>
    <n v="201812"/>
    <n v="0"/>
    <n v="0"/>
    <n v="0"/>
    <n v="0"/>
    <n v="0"/>
    <n v="0"/>
    <n v="0"/>
    <n v="0"/>
    <n v="0"/>
    <n v="0"/>
    <n v="0"/>
    <n v="0"/>
    <n v="0"/>
    <n v="0"/>
    <n v="0"/>
    <n v="0"/>
    <n v="0"/>
  </r>
  <r>
    <s v="KALIMANTAN TENGAH"/>
    <x v="9"/>
    <n v="340"/>
    <x v="1"/>
    <s v="Semester 2"/>
    <n v="201807"/>
    <n v="0"/>
    <n v="0"/>
    <n v="0"/>
    <n v="0"/>
    <n v="0"/>
    <n v="0"/>
    <n v="0"/>
    <n v="0"/>
    <n v="0"/>
    <n v="0"/>
    <n v="0"/>
    <n v="0"/>
    <n v="0"/>
    <n v="0"/>
    <n v="0"/>
    <n v="0"/>
    <n v="0"/>
  </r>
  <r>
    <s v="KALIMANTAN TENGAH"/>
    <x v="9"/>
    <n v="340"/>
    <x v="1"/>
    <s v="Semester 2"/>
    <n v="201808"/>
    <n v="0"/>
    <n v="0"/>
    <n v="0"/>
    <n v="0"/>
    <n v="0"/>
    <n v="0"/>
    <n v="0"/>
    <n v="0"/>
    <n v="0"/>
    <n v="0"/>
    <n v="0"/>
    <n v="0"/>
    <n v="0"/>
    <n v="0"/>
    <n v="0"/>
    <n v="0"/>
    <n v="0"/>
  </r>
  <r>
    <s v="KALIMANTAN TENGAH"/>
    <x v="9"/>
    <n v="340"/>
    <x v="1"/>
    <s v="Semester 2"/>
    <n v="201809"/>
    <n v="0"/>
    <n v="0"/>
    <n v="0"/>
    <n v="0"/>
    <n v="0"/>
    <n v="0"/>
    <n v="0"/>
    <n v="0"/>
    <n v="0"/>
    <n v="0"/>
    <n v="0"/>
    <n v="0"/>
    <n v="0"/>
    <n v="0"/>
    <n v="0"/>
    <n v="0"/>
    <n v="0"/>
  </r>
  <r>
    <s v="KALIMANTAN TENGAH"/>
    <x v="9"/>
    <n v="340"/>
    <x v="1"/>
    <s v="Semester 2"/>
    <n v="201810"/>
    <n v="0"/>
    <n v="0"/>
    <n v="0"/>
    <n v="0"/>
    <n v="0"/>
    <n v="0"/>
    <n v="0"/>
    <n v="0"/>
    <n v="0"/>
    <n v="0"/>
    <n v="0"/>
    <n v="0"/>
    <n v="0"/>
    <n v="0"/>
    <n v="0"/>
    <n v="0"/>
    <n v="0"/>
  </r>
  <r>
    <s v="KALIMANTAN TENGAH"/>
    <x v="9"/>
    <n v="340"/>
    <x v="1"/>
    <s v="Semester 2"/>
    <n v="201811"/>
    <n v="0"/>
    <n v="0"/>
    <n v="0"/>
    <n v="0"/>
    <n v="0"/>
    <n v="0"/>
    <n v="0"/>
    <n v="0"/>
    <n v="0"/>
    <n v="0"/>
    <n v="0"/>
    <n v="0"/>
    <n v="0"/>
    <n v="0"/>
    <n v="0"/>
    <n v="0"/>
    <n v="0"/>
  </r>
  <r>
    <s v="KALIMANTAN TENGAH"/>
    <x v="9"/>
    <n v="340"/>
    <x v="1"/>
    <s v="Semester 2"/>
    <n v="201812"/>
    <n v="0"/>
    <n v="0"/>
    <n v="0"/>
    <n v="0"/>
    <n v="0"/>
    <n v="0"/>
    <n v="0"/>
    <n v="0"/>
    <n v="0"/>
    <n v="0"/>
    <n v="0"/>
    <n v="0"/>
    <n v="0"/>
    <n v="0"/>
    <n v="0"/>
    <n v="0"/>
    <n v="0"/>
  </r>
  <r>
    <s v="KALIMANTAN TENGAH"/>
    <x v="10"/>
    <n v="339"/>
    <x v="0"/>
    <s v="Semester 2"/>
    <n v="201807"/>
    <n v="0"/>
    <n v="0"/>
    <n v="0"/>
    <n v="0"/>
    <n v="0"/>
    <n v="0"/>
    <n v="0"/>
    <n v="0"/>
    <n v="0"/>
    <n v="0"/>
    <n v="0"/>
    <n v="0"/>
    <n v="0"/>
    <n v="0"/>
    <n v="0"/>
    <n v="0"/>
    <n v="0"/>
  </r>
  <r>
    <s v="KALIMANTAN TENGAH"/>
    <x v="10"/>
    <n v="339"/>
    <x v="0"/>
    <s v="Semester 2"/>
    <n v="201808"/>
    <n v="0"/>
    <n v="0"/>
    <n v="0"/>
    <n v="0"/>
    <n v="0"/>
    <n v="0"/>
    <n v="0"/>
    <n v="0"/>
    <n v="0"/>
    <n v="0"/>
    <n v="0"/>
    <n v="0"/>
    <n v="0"/>
    <n v="0"/>
    <n v="0"/>
    <n v="0"/>
    <n v="0"/>
  </r>
  <r>
    <s v="KALIMANTAN TENGAH"/>
    <x v="10"/>
    <n v="339"/>
    <x v="0"/>
    <s v="Semester 2"/>
    <n v="201809"/>
    <n v="0"/>
    <n v="0"/>
    <n v="0"/>
    <n v="0"/>
    <n v="0"/>
    <n v="0"/>
    <n v="0"/>
    <n v="0"/>
    <n v="0"/>
    <n v="0"/>
    <n v="0"/>
    <n v="0"/>
    <n v="0"/>
    <n v="0"/>
    <n v="0"/>
    <n v="0"/>
    <n v="0"/>
  </r>
  <r>
    <s v="KALIMANTAN TENGAH"/>
    <x v="10"/>
    <n v="339"/>
    <x v="0"/>
    <s v="Semester 2"/>
    <n v="201810"/>
    <n v="0"/>
    <n v="0"/>
    <n v="0"/>
    <n v="0"/>
    <n v="0"/>
    <n v="0"/>
    <n v="0"/>
    <n v="0"/>
    <n v="0"/>
    <n v="0"/>
    <n v="0"/>
    <n v="0"/>
    <n v="0"/>
    <n v="0"/>
    <n v="0"/>
    <n v="0"/>
    <n v="0"/>
  </r>
  <r>
    <s v="KALIMANTAN TENGAH"/>
    <x v="10"/>
    <n v="339"/>
    <x v="0"/>
    <s v="Semester 2"/>
    <n v="201811"/>
    <n v="0"/>
    <n v="0"/>
    <n v="0"/>
    <n v="0"/>
    <n v="0"/>
    <n v="0"/>
    <n v="0"/>
    <n v="0"/>
    <n v="0"/>
    <n v="0"/>
    <n v="0"/>
    <n v="0"/>
    <n v="0"/>
    <n v="0"/>
    <n v="0"/>
    <n v="0"/>
    <n v="0"/>
  </r>
  <r>
    <s v="KALIMANTAN TENGAH"/>
    <x v="10"/>
    <n v="339"/>
    <x v="0"/>
    <s v="Semester 2"/>
    <n v="201812"/>
    <n v="0"/>
    <n v="0"/>
    <n v="0"/>
    <n v="0"/>
    <n v="0"/>
    <n v="0"/>
    <n v="0"/>
    <n v="0"/>
    <n v="0"/>
    <n v="0"/>
    <n v="0"/>
    <n v="0"/>
    <n v="0"/>
    <n v="0"/>
    <n v="0"/>
    <n v="0"/>
    <n v="0"/>
  </r>
  <r>
    <s v="KALIMANTAN TENGAH"/>
    <x v="10"/>
    <n v="339"/>
    <x v="1"/>
    <s v="Semester 2"/>
    <n v="201807"/>
    <n v="0"/>
    <n v="0"/>
    <n v="0"/>
    <n v="0"/>
    <n v="0"/>
    <n v="0"/>
    <n v="0"/>
    <n v="0"/>
    <n v="0"/>
    <n v="0"/>
    <n v="0"/>
    <n v="0"/>
    <n v="0"/>
    <n v="0"/>
    <n v="0"/>
    <n v="0"/>
    <n v="0"/>
  </r>
  <r>
    <s v="KALIMANTAN TENGAH"/>
    <x v="10"/>
    <n v="339"/>
    <x v="1"/>
    <s v="Semester 2"/>
    <n v="201808"/>
    <n v="0"/>
    <n v="0"/>
    <n v="0"/>
    <n v="0"/>
    <n v="0"/>
    <n v="0"/>
    <n v="0"/>
    <n v="0"/>
    <n v="0"/>
    <n v="0"/>
    <n v="0"/>
    <n v="0"/>
    <n v="0"/>
    <n v="0"/>
    <n v="0"/>
    <n v="0"/>
    <n v="0"/>
  </r>
  <r>
    <s v="KALIMANTAN TENGAH"/>
    <x v="10"/>
    <n v="339"/>
    <x v="1"/>
    <s v="Semester 2"/>
    <n v="201809"/>
    <n v="0"/>
    <n v="0"/>
    <n v="0"/>
    <n v="0"/>
    <n v="0"/>
    <n v="0"/>
    <n v="0"/>
    <n v="0"/>
    <n v="0"/>
    <n v="0"/>
    <n v="0"/>
    <n v="0"/>
    <n v="0"/>
    <n v="0"/>
    <n v="0"/>
    <n v="0"/>
    <n v="0"/>
  </r>
  <r>
    <s v="KALIMANTAN TENGAH"/>
    <x v="10"/>
    <n v="339"/>
    <x v="1"/>
    <s v="Semester 2"/>
    <n v="201810"/>
    <n v="0"/>
    <n v="0"/>
    <n v="0"/>
    <n v="0"/>
    <n v="0"/>
    <n v="0"/>
    <n v="0"/>
    <n v="0"/>
    <n v="0"/>
    <n v="0"/>
    <n v="0"/>
    <n v="0"/>
    <n v="0"/>
    <n v="0"/>
    <n v="0"/>
    <n v="0"/>
    <n v="0"/>
  </r>
  <r>
    <s v="KALIMANTAN TENGAH"/>
    <x v="10"/>
    <n v="339"/>
    <x v="1"/>
    <s v="Semester 2"/>
    <n v="201811"/>
    <n v="0"/>
    <n v="0"/>
    <n v="0"/>
    <n v="0"/>
    <n v="0"/>
    <n v="0"/>
    <n v="0"/>
    <n v="0"/>
    <n v="0"/>
    <n v="0"/>
    <n v="0"/>
    <n v="0"/>
    <n v="0"/>
    <n v="0"/>
    <n v="0"/>
    <n v="0"/>
    <n v="0"/>
  </r>
  <r>
    <s v="KALIMANTAN TENGAH"/>
    <x v="10"/>
    <n v="339"/>
    <x v="1"/>
    <s v="Semester 2"/>
    <n v="201812"/>
    <n v="0"/>
    <n v="0"/>
    <n v="0"/>
    <n v="0"/>
    <n v="0"/>
    <n v="0"/>
    <n v="0"/>
    <n v="0"/>
    <n v="0"/>
    <n v="0"/>
    <n v="0"/>
    <n v="0"/>
    <n v="0"/>
    <n v="0"/>
    <n v="0"/>
    <n v="0"/>
    <n v="0"/>
  </r>
  <r>
    <s v="KALIMANTAN TENGAH"/>
    <x v="11"/>
    <n v="335"/>
    <x v="0"/>
    <s v="Semester 2"/>
    <n v="201807"/>
    <n v="0"/>
    <n v="0"/>
    <n v="0"/>
    <n v="0"/>
    <n v="0"/>
    <n v="0"/>
    <n v="0"/>
    <n v="0"/>
    <n v="0"/>
    <n v="0"/>
    <n v="0"/>
    <n v="0"/>
    <n v="0"/>
    <n v="0"/>
    <n v="0"/>
    <n v="0"/>
    <n v="0"/>
  </r>
  <r>
    <s v="KALIMANTAN TENGAH"/>
    <x v="11"/>
    <n v="335"/>
    <x v="0"/>
    <s v="Semester 2"/>
    <n v="201808"/>
    <n v="0"/>
    <n v="0"/>
    <n v="0"/>
    <n v="0"/>
    <n v="0"/>
    <n v="0"/>
    <n v="0"/>
    <n v="0"/>
    <n v="0"/>
    <n v="0"/>
    <n v="0"/>
    <n v="0"/>
    <n v="0"/>
    <n v="0"/>
    <n v="0"/>
    <n v="0"/>
    <n v="0"/>
  </r>
  <r>
    <s v="KALIMANTAN TENGAH"/>
    <x v="11"/>
    <n v="335"/>
    <x v="0"/>
    <s v="Semester 2"/>
    <n v="201809"/>
    <n v="0"/>
    <n v="0"/>
    <n v="0"/>
    <n v="0"/>
    <n v="0"/>
    <n v="0"/>
    <n v="0"/>
    <n v="0"/>
    <n v="0"/>
    <n v="0"/>
    <n v="0"/>
    <n v="0"/>
    <n v="0"/>
    <n v="0"/>
    <n v="0"/>
    <n v="0"/>
    <n v="0"/>
  </r>
  <r>
    <s v="KALIMANTAN TENGAH"/>
    <x v="11"/>
    <n v="335"/>
    <x v="0"/>
    <s v="Semester 2"/>
    <n v="201810"/>
    <n v="0"/>
    <n v="0"/>
    <n v="0"/>
    <n v="0"/>
    <n v="0"/>
    <n v="0"/>
    <n v="0"/>
    <n v="0"/>
    <n v="0"/>
    <n v="0"/>
    <n v="0"/>
    <n v="0"/>
    <n v="0"/>
    <n v="0"/>
    <n v="0"/>
    <n v="0"/>
    <n v="0"/>
  </r>
  <r>
    <s v="KALIMANTAN TENGAH"/>
    <x v="11"/>
    <n v="335"/>
    <x v="0"/>
    <s v="Semester 2"/>
    <n v="201811"/>
    <n v="0"/>
    <n v="0"/>
    <n v="0"/>
    <n v="0"/>
    <n v="0"/>
    <n v="0"/>
    <n v="0"/>
    <n v="0"/>
    <n v="0"/>
    <n v="0"/>
    <n v="0"/>
    <n v="0"/>
    <n v="0"/>
    <n v="0"/>
    <n v="0"/>
    <n v="0"/>
    <n v="0"/>
  </r>
  <r>
    <s v="KALIMANTAN TENGAH"/>
    <x v="11"/>
    <n v="335"/>
    <x v="0"/>
    <s v="Semester 2"/>
    <n v="201812"/>
    <n v="0"/>
    <n v="0"/>
    <n v="0"/>
    <n v="0"/>
    <n v="0"/>
    <n v="0"/>
    <n v="0"/>
    <n v="0"/>
    <n v="0"/>
    <n v="0"/>
    <n v="0"/>
    <n v="0"/>
    <n v="0"/>
    <n v="0"/>
    <n v="0"/>
    <n v="0"/>
    <n v="0"/>
  </r>
  <r>
    <s v="KALIMANTAN TENGAH"/>
    <x v="11"/>
    <n v="335"/>
    <x v="1"/>
    <s v="Semester 2"/>
    <n v="201807"/>
    <n v="0"/>
    <n v="0"/>
    <n v="0"/>
    <n v="0"/>
    <n v="0"/>
    <n v="0"/>
    <n v="0"/>
    <n v="0"/>
    <n v="0"/>
    <n v="0"/>
    <n v="0"/>
    <n v="0"/>
    <n v="0"/>
    <n v="0"/>
    <n v="0"/>
    <n v="0"/>
    <n v="0"/>
  </r>
  <r>
    <s v="KALIMANTAN TENGAH"/>
    <x v="11"/>
    <n v="335"/>
    <x v="1"/>
    <s v="Semester 2"/>
    <n v="201808"/>
    <n v="0"/>
    <n v="0"/>
    <n v="0"/>
    <n v="0"/>
    <n v="0"/>
    <n v="0"/>
    <n v="0"/>
    <n v="0"/>
    <n v="0"/>
    <n v="0"/>
    <n v="0"/>
    <n v="0"/>
    <n v="0"/>
    <n v="0"/>
    <n v="0"/>
    <n v="0"/>
    <n v="0"/>
  </r>
  <r>
    <s v="KALIMANTAN TENGAH"/>
    <x v="11"/>
    <n v="335"/>
    <x v="1"/>
    <s v="Semester 2"/>
    <n v="201809"/>
    <n v="0"/>
    <n v="0"/>
    <n v="0"/>
    <n v="0"/>
    <n v="0"/>
    <n v="0"/>
    <n v="0"/>
    <n v="0"/>
    <n v="0"/>
    <n v="0"/>
    <n v="0"/>
    <n v="0"/>
    <n v="0"/>
    <n v="0"/>
    <n v="0"/>
    <n v="0"/>
    <n v="0"/>
  </r>
  <r>
    <s v="KALIMANTAN TENGAH"/>
    <x v="11"/>
    <n v="335"/>
    <x v="1"/>
    <s v="Semester 2"/>
    <n v="201810"/>
    <n v="0"/>
    <n v="0"/>
    <n v="0"/>
    <n v="0"/>
    <n v="0"/>
    <n v="0"/>
    <n v="0"/>
    <n v="0"/>
    <n v="0"/>
    <n v="0"/>
    <n v="0"/>
    <n v="0"/>
    <n v="0"/>
    <n v="0"/>
    <n v="0"/>
    <n v="0"/>
    <n v="0"/>
  </r>
  <r>
    <s v="KALIMANTAN TENGAH"/>
    <x v="11"/>
    <n v="335"/>
    <x v="1"/>
    <s v="Semester 2"/>
    <n v="201811"/>
    <n v="0"/>
    <n v="0"/>
    <n v="0"/>
    <n v="0"/>
    <n v="0"/>
    <n v="0"/>
    <n v="0"/>
    <n v="0"/>
    <n v="0"/>
    <n v="0"/>
    <n v="0"/>
    <n v="0"/>
    <n v="0"/>
    <n v="0"/>
    <n v="0"/>
    <n v="0"/>
    <n v="0"/>
  </r>
  <r>
    <s v="KALIMANTAN TENGAH"/>
    <x v="11"/>
    <n v="335"/>
    <x v="1"/>
    <s v="Semester 2"/>
    <n v="201812"/>
    <n v="0"/>
    <n v="0"/>
    <n v="0"/>
    <n v="0"/>
    <n v="0"/>
    <n v="0"/>
    <n v="0"/>
    <n v="0"/>
    <n v="0"/>
    <n v="0"/>
    <n v="0"/>
    <n v="0"/>
    <n v="0"/>
    <n v="0"/>
    <n v="0"/>
    <n v="0"/>
    <n v="0"/>
  </r>
  <r>
    <s v="KALIMANTAN TENGAH"/>
    <x v="12"/>
    <n v="336"/>
    <x v="0"/>
    <s v="Semester 2"/>
    <n v="201807"/>
    <n v="0"/>
    <n v="0"/>
    <n v="0"/>
    <n v="0"/>
    <n v="0"/>
    <n v="0"/>
    <n v="0"/>
    <n v="0"/>
    <n v="0"/>
    <n v="0"/>
    <n v="0"/>
    <n v="0"/>
    <n v="0"/>
    <n v="0"/>
    <n v="0"/>
    <n v="0"/>
    <n v="0"/>
  </r>
  <r>
    <s v="KALIMANTAN TENGAH"/>
    <x v="12"/>
    <n v="336"/>
    <x v="0"/>
    <s v="Semester 2"/>
    <n v="201808"/>
    <n v="0"/>
    <n v="0"/>
    <n v="0"/>
    <n v="0"/>
    <n v="0"/>
    <n v="0"/>
    <n v="0"/>
    <n v="0"/>
    <n v="0"/>
    <n v="0"/>
    <n v="0"/>
    <n v="0"/>
    <n v="0"/>
    <n v="0"/>
    <n v="0"/>
    <n v="0"/>
    <n v="0"/>
  </r>
  <r>
    <s v="KALIMANTAN TENGAH"/>
    <x v="12"/>
    <n v="336"/>
    <x v="0"/>
    <s v="Semester 2"/>
    <n v="201809"/>
    <n v="0"/>
    <n v="0"/>
    <n v="0"/>
    <n v="0"/>
    <n v="0"/>
    <n v="0"/>
    <n v="0"/>
    <n v="0"/>
    <n v="0"/>
    <n v="0"/>
    <n v="0"/>
    <n v="0"/>
    <n v="0"/>
    <n v="0"/>
    <n v="0"/>
    <n v="0"/>
    <n v="0"/>
  </r>
  <r>
    <s v="KALIMANTAN TENGAH"/>
    <x v="12"/>
    <n v="336"/>
    <x v="0"/>
    <s v="Semester 2"/>
    <n v="201810"/>
    <n v="0"/>
    <n v="0"/>
    <n v="0"/>
    <n v="0"/>
    <n v="0"/>
    <n v="0"/>
    <n v="0"/>
    <n v="0"/>
    <n v="0"/>
    <n v="0"/>
    <n v="0"/>
    <n v="0"/>
    <n v="0"/>
    <n v="0"/>
    <n v="0"/>
    <n v="0"/>
    <n v="0"/>
  </r>
  <r>
    <s v="KALIMANTAN TENGAH"/>
    <x v="12"/>
    <n v="336"/>
    <x v="0"/>
    <s v="Semester 2"/>
    <n v="201811"/>
    <n v="0"/>
    <n v="0"/>
    <n v="0"/>
    <n v="0"/>
    <n v="0"/>
    <n v="0"/>
    <n v="0"/>
    <n v="0"/>
    <n v="0"/>
    <n v="0"/>
    <n v="0"/>
    <n v="0"/>
    <n v="0"/>
    <n v="0"/>
    <n v="0"/>
    <n v="0"/>
    <n v="0"/>
  </r>
  <r>
    <s v="KALIMANTAN TENGAH"/>
    <x v="12"/>
    <n v="336"/>
    <x v="0"/>
    <s v="Semester 2"/>
    <n v="201812"/>
    <n v="0"/>
    <n v="0"/>
    <n v="0"/>
    <n v="0"/>
    <n v="0"/>
    <n v="0"/>
    <n v="0"/>
    <n v="0"/>
    <n v="0"/>
    <n v="0"/>
    <n v="0"/>
    <n v="0"/>
    <n v="0"/>
    <n v="0"/>
    <n v="0"/>
    <n v="0"/>
    <n v="0"/>
  </r>
  <r>
    <s v="KALIMANTAN TENGAH"/>
    <x v="12"/>
    <n v="336"/>
    <x v="1"/>
    <s v="Semester 2"/>
    <n v="201807"/>
    <n v="0"/>
    <n v="0"/>
    <n v="0"/>
    <n v="0"/>
    <n v="0"/>
    <n v="0"/>
    <n v="0"/>
    <n v="0"/>
    <n v="0"/>
    <n v="0"/>
    <n v="0"/>
    <n v="0"/>
    <n v="0"/>
    <n v="0"/>
    <n v="0"/>
    <n v="0"/>
    <n v="0"/>
  </r>
  <r>
    <s v="KALIMANTAN TENGAH"/>
    <x v="12"/>
    <n v="336"/>
    <x v="1"/>
    <s v="Semester 2"/>
    <n v="201808"/>
    <n v="0"/>
    <n v="0"/>
    <n v="0"/>
    <n v="0"/>
    <n v="0"/>
    <n v="0"/>
    <n v="0"/>
    <n v="0"/>
    <n v="0"/>
    <n v="0"/>
    <n v="0"/>
    <n v="0"/>
    <n v="0"/>
    <n v="0"/>
    <n v="0"/>
    <n v="0"/>
    <n v="0"/>
  </r>
  <r>
    <s v="KALIMANTAN TENGAH"/>
    <x v="12"/>
    <n v="336"/>
    <x v="1"/>
    <s v="Semester 2"/>
    <n v="201809"/>
    <n v="0"/>
    <n v="0"/>
    <n v="0"/>
    <n v="0"/>
    <n v="0"/>
    <n v="0"/>
    <n v="0"/>
    <n v="0"/>
    <n v="0"/>
    <n v="0"/>
    <n v="0"/>
    <n v="0"/>
    <n v="0"/>
    <n v="0"/>
    <n v="0"/>
    <n v="0"/>
    <n v="0"/>
  </r>
  <r>
    <s v="KALIMANTAN TENGAH"/>
    <x v="12"/>
    <n v="336"/>
    <x v="1"/>
    <s v="Semester 2"/>
    <n v="201810"/>
    <n v="0"/>
    <n v="0"/>
    <n v="0"/>
    <n v="0"/>
    <n v="0"/>
    <n v="0"/>
    <n v="0"/>
    <n v="0"/>
    <n v="0"/>
    <n v="0"/>
    <n v="0"/>
    <n v="0"/>
    <n v="0"/>
    <n v="0"/>
    <n v="0"/>
    <n v="0"/>
    <n v="0"/>
  </r>
  <r>
    <s v="KALIMANTAN TENGAH"/>
    <x v="12"/>
    <n v="336"/>
    <x v="1"/>
    <s v="Semester 2"/>
    <n v="201811"/>
    <n v="0"/>
    <n v="0"/>
    <n v="0"/>
    <n v="0"/>
    <n v="0"/>
    <n v="0"/>
    <n v="0"/>
    <n v="0"/>
    <n v="0"/>
    <n v="0"/>
    <n v="0"/>
    <n v="0"/>
    <n v="0"/>
    <n v="0"/>
    <n v="0"/>
    <n v="0"/>
    <n v="0"/>
  </r>
  <r>
    <s v="KALIMANTAN TENGAH"/>
    <x v="12"/>
    <n v="336"/>
    <x v="1"/>
    <s v="Semester 2"/>
    <n v="201812"/>
    <n v="0"/>
    <n v="0"/>
    <n v="0"/>
    <n v="0"/>
    <n v="0"/>
    <n v="0"/>
    <n v="0"/>
    <n v="0"/>
    <n v="0"/>
    <n v="0"/>
    <n v="0"/>
    <n v="0"/>
    <n v="0"/>
    <n v="0"/>
    <n v="0"/>
    <n v="0"/>
    <n v="0"/>
  </r>
  <r>
    <s v="KALIMANTAN TENGAH"/>
    <x v="13"/>
    <n v="342"/>
    <x v="0"/>
    <s v="Semester 2"/>
    <n v="201807"/>
    <n v="0"/>
    <n v="0"/>
    <n v="0"/>
    <n v="0"/>
    <n v="0"/>
    <n v="0"/>
    <n v="0"/>
    <n v="0"/>
    <n v="0"/>
    <n v="0"/>
    <n v="0"/>
    <n v="0"/>
    <n v="0"/>
    <n v="0"/>
    <n v="0"/>
    <n v="0"/>
    <n v="0"/>
  </r>
  <r>
    <s v="KALIMANTAN TENGAH"/>
    <x v="13"/>
    <n v="342"/>
    <x v="0"/>
    <s v="Semester 2"/>
    <n v="201808"/>
    <n v="0"/>
    <n v="0"/>
    <n v="0"/>
    <n v="0"/>
    <n v="0"/>
    <n v="0"/>
    <n v="0"/>
    <n v="0"/>
    <n v="0"/>
    <n v="0"/>
    <n v="0"/>
    <n v="0"/>
    <n v="0"/>
    <n v="0"/>
    <n v="0"/>
    <n v="0"/>
    <n v="0"/>
  </r>
  <r>
    <s v="KALIMANTAN TENGAH"/>
    <x v="13"/>
    <n v="342"/>
    <x v="0"/>
    <s v="Semester 2"/>
    <n v="201809"/>
    <n v="0"/>
    <n v="0"/>
    <n v="0"/>
    <n v="0"/>
    <n v="0"/>
    <n v="0"/>
    <n v="0"/>
    <n v="0"/>
    <n v="0"/>
    <n v="0"/>
    <n v="0"/>
    <n v="0"/>
    <n v="0"/>
    <n v="0"/>
    <n v="0"/>
    <n v="0"/>
    <n v="0"/>
  </r>
  <r>
    <s v="KALIMANTAN TENGAH"/>
    <x v="13"/>
    <n v="342"/>
    <x v="0"/>
    <s v="Semester 2"/>
    <n v="201810"/>
    <n v="0"/>
    <n v="0"/>
    <n v="0"/>
    <n v="0"/>
    <n v="0"/>
    <n v="0"/>
    <n v="0"/>
    <n v="0"/>
    <n v="0"/>
    <n v="0"/>
    <n v="0"/>
    <n v="0"/>
    <n v="0"/>
    <n v="0"/>
    <n v="0"/>
    <n v="0"/>
    <n v="0"/>
  </r>
  <r>
    <s v="KALIMANTAN TENGAH"/>
    <x v="13"/>
    <n v="342"/>
    <x v="0"/>
    <s v="Semester 2"/>
    <n v="201811"/>
    <n v="0"/>
    <n v="0"/>
    <n v="0"/>
    <n v="0"/>
    <n v="0"/>
    <n v="0"/>
    <n v="0"/>
    <n v="0"/>
    <n v="0"/>
    <n v="0"/>
    <n v="0"/>
    <n v="0"/>
    <n v="0"/>
    <n v="0"/>
    <n v="0"/>
    <n v="0"/>
    <n v="0"/>
  </r>
  <r>
    <s v="KALIMANTAN TENGAH"/>
    <x v="13"/>
    <n v="342"/>
    <x v="0"/>
    <s v="Semester 2"/>
    <n v="201812"/>
    <n v="0"/>
    <n v="0"/>
    <n v="0"/>
    <n v="0"/>
    <n v="0"/>
    <n v="0"/>
    <n v="0"/>
    <n v="0"/>
    <n v="0"/>
    <n v="0"/>
    <n v="0"/>
    <n v="0"/>
    <n v="0"/>
    <n v="0"/>
    <n v="0"/>
    <n v="0"/>
    <n v="0"/>
  </r>
  <r>
    <s v="KALIMANTAN TENGAH"/>
    <x v="13"/>
    <n v="342"/>
    <x v="1"/>
    <s v="Semester 2"/>
    <n v="201807"/>
    <n v="2"/>
    <n v="0"/>
    <n v="0"/>
    <n v="0"/>
    <n v="0"/>
    <n v="0"/>
    <n v="0"/>
    <n v="0"/>
    <n v="2"/>
    <n v="0"/>
    <n v="0"/>
    <n v="0"/>
    <n v="0"/>
    <n v="0"/>
    <n v="0"/>
    <n v="0"/>
    <n v="0"/>
  </r>
  <r>
    <s v="KALIMANTAN TENGAH"/>
    <x v="13"/>
    <n v="342"/>
    <x v="1"/>
    <s v="Semester 2"/>
    <n v="201808"/>
    <n v="2"/>
    <n v="0"/>
    <n v="0"/>
    <n v="0"/>
    <n v="0"/>
    <n v="0"/>
    <n v="0"/>
    <n v="0"/>
    <n v="2"/>
    <n v="0"/>
    <n v="0"/>
    <n v="0"/>
    <n v="0"/>
    <n v="0"/>
    <n v="0"/>
    <n v="0"/>
    <n v="0"/>
  </r>
  <r>
    <s v="KALIMANTAN TENGAH"/>
    <x v="13"/>
    <n v="342"/>
    <x v="1"/>
    <s v="Semester 2"/>
    <n v="201809"/>
    <n v="2"/>
    <n v="0"/>
    <n v="0"/>
    <n v="0"/>
    <n v="0"/>
    <n v="0"/>
    <n v="0"/>
    <n v="0"/>
    <n v="2"/>
    <n v="0"/>
    <n v="0"/>
    <n v="0"/>
    <n v="0"/>
    <n v="0"/>
    <n v="0"/>
    <n v="0"/>
    <n v="0"/>
  </r>
  <r>
    <s v="KALIMANTAN TENGAH"/>
    <x v="13"/>
    <n v="342"/>
    <x v="1"/>
    <s v="Semester 2"/>
    <n v="201810"/>
    <n v="2"/>
    <n v="0"/>
    <n v="0"/>
    <n v="0"/>
    <n v="0"/>
    <n v="0"/>
    <n v="0"/>
    <n v="0"/>
    <n v="2"/>
    <n v="0"/>
    <n v="0"/>
    <n v="0"/>
    <n v="0"/>
    <n v="0"/>
    <n v="0"/>
    <n v="0"/>
    <n v="0"/>
  </r>
  <r>
    <s v="KALIMANTAN TENGAH"/>
    <x v="13"/>
    <n v="342"/>
    <x v="1"/>
    <s v="Semester 2"/>
    <n v="201811"/>
    <n v="2"/>
    <n v="0"/>
    <n v="0"/>
    <n v="0"/>
    <n v="0"/>
    <n v="0"/>
    <n v="0"/>
    <n v="0"/>
    <n v="2"/>
    <n v="0"/>
    <n v="0"/>
    <n v="0"/>
    <n v="0"/>
    <n v="0"/>
    <n v="0"/>
    <n v="0"/>
    <n v="0"/>
  </r>
  <r>
    <s v="KALIMANTAN TENGAH"/>
    <x v="13"/>
    <n v="342"/>
    <x v="1"/>
    <s v="Semester 2"/>
    <n v="201812"/>
    <n v="2"/>
    <n v="0"/>
    <n v="0"/>
    <n v="0"/>
    <n v="0"/>
    <n v="2"/>
    <n v="0"/>
    <n v="0"/>
    <n v="2"/>
    <n v="0"/>
    <n v="0"/>
    <n v="0"/>
    <n v="0"/>
    <n v="0"/>
    <n v="0"/>
    <n v="0"/>
    <n v="0"/>
  </r>
</pivotCacheRecords>
</file>

<file path=xl/pivotCache/pivotCacheRecords5.xml><?xml version="1.0" encoding="utf-8"?>
<pivotCacheRecords xmlns="http://schemas.openxmlformats.org/spreadsheetml/2006/main" xmlns:r="http://schemas.openxmlformats.org/officeDocument/2006/relationships" count="28">
  <r>
    <s v="KALIMANTAN TENGAH"/>
    <x v="0"/>
    <x v="0"/>
    <n v="0"/>
  </r>
  <r>
    <s v="KALIMANTAN TENGAH"/>
    <x v="0"/>
    <x v="1"/>
    <n v="0"/>
  </r>
  <r>
    <s v="KALIMANTAN TENGAH"/>
    <x v="1"/>
    <x v="0"/>
    <n v="0"/>
  </r>
  <r>
    <s v="KALIMANTAN TENGAH"/>
    <x v="1"/>
    <x v="1"/>
    <n v="0"/>
  </r>
  <r>
    <s v="KALIMANTAN TENGAH"/>
    <x v="2"/>
    <x v="0"/>
    <n v="0"/>
  </r>
  <r>
    <s v="KALIMANTAN TENGAH"/>
    <x v="2"/>
    <x v="1"/>
    <n v="0"/>
  </r>
  <r>
    <s v="KALIMANTAN TENGAH"/>
    <x v="3"/>
    <x v="0"/>
    <n v="0"/>
  </r>
  <r>
    <s v="KALIMANTAN TENGAH"/>
    <x v="3"/>
    <x v="1"/>
    <n v="0"/>
  </r>
  <r>
    <s v="KALIMANTAN TENGAH"/>
    <x v="4"/>
    <x v="0"/>
    <n v="0"/>
  </r>
  <r>
    <s v="KALIMANTAN TENGAH"/>
    <x v="4"/>
    <x v="1"/>
    <n v="0"/>
  </r>
  <r>
    <s v="KALIMANTAN TENGAH"/>
    <x v="5"/>
    <x v="0"/>
    <n v="0"/>
  </r>
  <r>
    <s v="KALIMANTAN TENGAH"/>
    <x v="5"/>
    <x v="1"/>
    <n v="0"/>
  </r>
  <r>
    <s v="KALIMANTAN TENGAH"/>
    <x v="6"/>
    <x v="0"/>
    <n v="0"/>
  </r>
  <r>
    <s v="KALIMANTAN TENGAH"/>
    <x v="6"/>
    <x v="1"/>
    <n v="0"/>
  </r>
  <r>
    <s v="KALIMANTAN TENGAH"/>
    <x v="7"/>
    <x v="0"/>
    <n v="0"/>
  </r>
  <r>
    <s v="KALIMANTAN TENGAH"/>
    <x v="7"/>
    <x v="1"/>
    <n v="0"/>
  </r>
  <r>
    <s v="KALIMANTAN TENGAH"/>
    <x v="8"/>
    <x v="0"/>
    <n v="0"/>
  </r>
  <r>
    <s v="KALIMANTAN TENGAH"/>
    <x v="8"/>
    <x v="1"/>
    <n v="0"/>
  </r>
  <r>
    <s v="KALIMANTAN TENGAH"/>
    <x v="9"/>
    <x v="0"/>
    <n v="0"/>
  </r>
  <r>
    <s v="KALIMANTAN TENGAH"/>
    <x v="9"/>
    <x v="1"/>
    <n v="0"/>
  </r>
  <r>
    <s v="KALIMANTAN TENGAH"/>
    <x v="10"/>
    <x v="0"/>
    <n v="0"/>
  </r>
  <r>
    <s v="KALIMANTAN TENGAH"/>
    <x v="10"/>
    <x v="1"/>
    <n v="0"/>
  </r>
  <r>
    <s v="KALIMANTAN TENGAH"/>
    <x v="11"/>
    <x v="0"/>
    <n v="0"/>
  </r>
  <r>
    <s v="KALIMANTAN TENGAH"/>
    <x v="11"/>
    <x v="1"/>
    <n v="0"/>
  </r>
  <r>
    <s v="KALIMANTAN TENGAH"/>
    <x v="12"/>
    <x v="0"/>
    <n v="0"/>
  </r>
  <r>
    <s v="KALIMANTAN TENGAH"/>
    <x v="12"/>
    <x v="1"/>
    <n v="0"/>
  </r>
  <r>
    <s v="KALIMANTAN TENGAH"/>
    <x v="13"/>
    <x v="0"/>
    <n v="0"/>
  </r>
  <r>
    <s v="KALIMANTAN TENGAH"/>
    <x v="13"/>
    <x v="1"/>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J4:N20" firstHeaderRow="1" firstDataRow="2" firstDataCol="1"/>
  <pivotFields count="23">
    <pivotField showAll="0"/>
    <pivotField axis="axisRow" showAll="0">
      <items count="53">
        <item sd="0" m="1" x="49"/>
        <item sd="0" m="1" x="22"/>
        <item sd="0" m="1" x="35"/>
        <item sd="0" m="1" x="31"/>
        <item sd="0" m="1" x="23"/>
        <item sd="0" m="1" x="20"/>
        <item sd="0" m="1" x="37"/>
        <item sd="0" m="1" x="28"/>
        <item sd="0" m="1" x="26"/>
        <item sd="0" m="1" x="16"/>
        <item sd="0" m="1" x="39"/>
        <item sd="0" m="1" x="15"/>
        <item sd="0" m="1" x="27"/>
        <item sd="0" m="1" x="36"/>
        <item sd="0" m="1" x="50"/>
        <item sd="0" m="1" x="42"/>
        <item sd="0" m="1" x="46"/>
        <item sd="0" m="1" x="18"/>
        <item sd="0" m="1" x="34"/>
        <item sd="0" m="1" x="19"/>
        <item sd="0" m="1" x="17"/>
        <item sd="0" m="1" x="14"/>
        <item sd="0" m="1" x="38"/>
        <item sd="0" m="1" x="33"/>
        <item sd="0" m="1" x="48"/>
        <item sd="0" m="1" x="41"/>
        <item sd="0" m="1" x="29"/>
        <item sd="0" m="1" x="51"/>
        <item sd="0" m="1" x="45"/>
        <item sd="0" m="1" x="30"/>
        <item sd="0" m="1" x="24"/>
        <item sd="0" m="1" x="21"/>
        <item sd="0" m="1" x="44"/>
        <item sd="0" m="1" x="25"/>
        <item sd="0" m="1" x="40"/>
        <item sd="0" m="1" x="47"/>
        <item sd="0" m="1" x="43"/>
        <item sd="0" m="1" x="32"/>
        <item sd="0" x="0"/>
        <item sd="0" x="1"/>
        <item sd="0" x="2"/>
        <item sd="0" x="3"/>
        <item sd="0" x="4"/>
        <item sd="0" x="5"/>
        <item sd="0" x="6"/>
        <item sd="0" x="7"/>
        <item sd="0" x="8"/>
        <item sd="0" x="9"/>
        <item sd="0" x="10"/>
        <item sd="0" x="11"/>
        <item sd="0" x="12"/>
        <item sd="0" x="13"/>
        <item t="default" sd="0"/>
      </items>
    </pivotField>
    <pivotField showAll="0"/>
    <pivotField axis="axisRow" showAll="0">
      <items count="5">
        <item m="1" x="2"/>
        <item m="1" x="3"/>
        <item x="0"/>
        <item x="1"/>
        <item t="default"/>
      </items>
    </pivotField>
    <pivotField showAll="0"/>
    <pivotField showAll="0"/>
    <pivotField numFmtId="165" showAll="0"/>
    <pivotField numFmtId="165" showAll="0"/>
    <pivotField numFmtId="165" showAll="0"/>
    <pivotField numFmtId="41" showAll="0"/>
    <pivotField dataField="1" numFmtId="165" showAll="0"/>
    <pivotField numFmtId="165" showAll="0"/>
    <pivotField numFmtId="41" showAll="0"/>
    <pivotField numFmtId="165" showAll="0"/>
    <pivotField numFmtId="165" showAll="0"/>
    <pivotField numFmtId="41" showAll="0"/>
    <pivotField dataField="1" numFmtId="165" showAll="0"/>
    <pivotField numFmtId="165" showAll="0"/>
    <pivotField numFmtId="41" showAll="0"/>
    <pivotField dataField="1" numFmtId="165" showAll="0"/>
    <pivotField numFmtId="165" showAll="0"/>
    <pivotField numFmtId="41" showAll="0"/>
    <pivotField dataField="1" numFmtId="165" showAll="0"/>
  </pivotFields>
  <rowFields count="2">
    <field x="1"/>
    <field x="3"/>
  </rowFields>
  <rowItems count="15">
    <i>
      <x v="38"/>
    </i>
    <i>
      <x v="39"/>
    </i>
    <i>
      <x v="40"/>
    </i>
    <i>
      <x v="41"/>
    </i>
    <i>
      <x v="42"/>
    </i>
    <i>
      <x v="43"/>
    </i>
    <i>
      <x v="44"/>
    </i>
    <i>
      <x v="45"/>
    </i>
    <i>
      <x v="46"/>
    </i>
    <i>
      <x v="47"/>
    </i>
    <i>
      <x v="48"/>
    </i>
    <i>
      <x v="49"/>
    </i>
    <i>
      <x v="50"/>
    </i>
    <i>
      <x v="51"/>
    </i>
    <i t="grand">
      <x/>
    </i>
  </rowItems>
  <colFields count="1">
    <field x="-2"/>
  </colFields>
  <colItems count="4">
    <i>
      <x/>
    </i>
    <i i="1">
      <x v="1"/>
    </i>
    <i i="2">
      <x v="2"/>
    </i>
    <i i="3">
      <x v="3"/>
    </i>
  </colItems>
  <dataFields count="4">
    <dataField name="Sum of Agregat Sampling (ekor)" fld="10" baseField="0" baseItem="0"/>
    <dataField name="Sum of Agregat Pusat (ekor)" fld="16" baseField="0" baseItem="0"/>
    <dataField name="Sum of Agregat Daerah (ekor)" fld="19" baseField="0" baseItem="0"/>
    <dataField name="Sum of Agregat Final (ekor)" fld="22" baseField="0" baseItem="0"/>
  </dataFields>
  <formats count="32">
    <format dxfId="35">
      <pivotArea collapsedLevelsAreSubtotals="1" fieldPosition="0">
        <references count="1">
          <reference field="1" count="1">
            <x v="8"/>
          </reference>
        </references>
      </pivotArea>
    </format>
    <format dxfId="34">
      <pivotArea collapsedLevelsAreSubtotals="1" fieldPosition="0">
        <references count="1">
          <reference field="1" count="1">
            <x v="9"/>
          </reference>
        </references>
      </pivotArea>
    </format>
    <format dxfId="33">
      <pivotArea collapsedLevelsAreSubtotals="1" fieldPosition="0">
        <references count="1">
          <reference field="1" count="1">
            <x v="10"/>
          </reference>
        </references>
      </pivotArea>
    </format>
    <format dxfId="32">
      <pivotArea collapsedLevelsAreSubtotals="1" fieldPosition="0">
        <references count="1">
          <reference field="1" count="1">
            <x v="11"/>
          </reference>
        </references>
      </pivotArea>
    </format>
    <format dxfId="31">
      <pivotArea collapsedLevelsAreSubtotals="1" fieldPosition="0">
        <references count="1">
          <reference field="1" count="1">
            <x v="12"/>
          </reference>
        </references>
      </pivotArea>
    </format>
    <format dxfId="30">
      <pivotArea collapsedLevelsAreSubtotals="1" fieldPosition="0">
        <references count="1">
          <reference field="1" count="1">
            <x v="13"/>
          </reference>
        </references>
      </pivotArea>
    </format>
    <format dxfId="29">
      <pivotArea collapsedLevelsAreSubtotals="1" fieldPosition="0">
        <references count="1">
          <reference field="1" count="1">
            <x v="14"/>
          </reference>
        </references>
      </pivotArea>
    </format>
    <format dxfId="28">
      <pivotArea collapsedLevelsAreSubtotals="1" fieldPosition="0">
        <references count="1">
          <reference field="1" count="1">
            <x v="15"/>
          </reference>
        </references>
      </pivotArea>
    </format>
    <format dxfId="27">
      <pivotArea collapsedLevelsAreSubtotals="1" fieldPosition="0">
        <references count="1">
          <reference field="1" count="1">
            <x v="16"/>
          </reference>
        </references>
      </pivotArea>
    </format>
    <format dxfId="26">
      <pivotArea collapsedLevelsAreSubtotals="1" fieldPosition="0">
        <references count="1">
          <reference field="1" count="1">
            <x v="17"/>
          </reference>
        </references>
      </pivotArea>
    </format>
    <format dxfId="25">
      <pivotArea collapsedLevelsAreSubtotals="1" fieldPosition="0">
        <references count="1">
          <reference field="1" count="1">
            <x v="18"/>
          </reference>
        </references>
      </pivotArea>
    </format>
    <format dxfId="24">
      <pivotArea collapsedLevelsAreSubtotals="1" fieldPosition="0">
        <references count="1">
          <reference field="1" count="1">
            <x v="19"/>
          </reference>
        </references>
      </pivotArea>
    </format>
    <format dxfId="23">
      <pivotArea collapsedLevelsAreSubtotals="1" fieldPosition="0">
        <references count="1">
          <reference field="1" count="1">
            <x v="20"/>
          </reference>
        </references>
      </pivotArea>
    </format>
    <format dxfId="22">
      <pivotArea collapsedLevelsAreSubtotals="1" fieldPosition="0">
        <references count="1">
          <reference field="1" count="1">
            <x v="21"/>
          </reference>
        </references>
      </pivotArea>
    </format>
    <format dxfId="21">
      <pivotArea collapsedLevelsAreSubtotals="1" fieldPosition="0">
        <references count="1">
          <reference field="1" count="1">
            <x v="22"/>
          </reference>
        </references>
      </pivotArea>
    </format>
    <format dxfId="20">
      <pivotArea collapsedLevelsAreSubtotals="1" fieldPosition="0">
        <references count="1">
          <reference field="1" count="1">
            <x v="23"/>
          </reference>
        </references>
      </pivotArea>
    </format>
    <format dxfId="19">
      <pivotArea collapsedLevelsAreSubtotals="1" fieldPosition="0">
        <references count="1">
          <reference field="1" count="1">
            <x v="24"/>
          </reference>
        </references>
      </pivotArea>
    </format>
    <format dxfId="18">
      <pivotArea collapsedLevelsAreSubtotals="1" fieldPosition="0">
        <references count="1">
          <reference field="1" count="1">
            <x v="25"/>
          </reference>
        </references>
      </pivotArea>
    </format>
    <format dxfId="17">
      <pivotArea collapsedLevelsAreSubtotals="1" fieldPosition="0">
        <references count="1">
          <reference field="1" count="1">
            <x v="26"/>
          </reference>
        </references>
      </pivotArea>
    </format>
    <format dxfId="16">
      <pivotArea collapsedLevelsAreSubtotals="1" fieldPosition="0">
        <references count="1">
          <reference field="1" count="1">
            <x v="27"/>
          </reference>
        </references>
      </pivotArea>
    </format>
    <format dxfId="15">
      <pivotArea collapsedLevelsAreSubtotals="1" fieldPosition="0">
        <references count="1">
          <reference field="1" count="1">
            <x v="28"/>
          </reference>
        </references>
      </pivotArea>
    </format>
    <format dxfId="14">
      <pivotArea collapsedLevelsAreSubtotals="1" fieldPosition="0">
        <references count="1">
          <reference field="1" count="1">
            <x v="29"/>
          </reference>
        </references>
      </pivotArea>
    </format>
    <format dxfId="13">
      <pivotArea collapsedLevelsAreSubtotals="1" fieldPosition="0">
        <references count="1">
          <reference field="1" count="1">
            <x v="30"/>
          </reference>
        </references>
      </pivotArea>
    </format>
    <format dxfId="12">
      <pivotArea collapsedLevelsAreSubtotals="1" fieldPosition="0">
        <references count="1">
          <reference field="1" count="1">
            <x v="31"/>
          </reference>
        </references>
      </pivotArea>
    </format>
    <format dxfId="11">
      <pivotArea collapsedLevelsAreSubtotals="1" fieldPosition="0">
        <references count="1">
          <reference field="1" count="1">
            <x v="32"/>
          </reference>
        </references>
      </pivotArea>
    </format>
    <format dxfId="10">
      <pivotArea collapsedLevelsAreSubtotals="1" fieldPosition="0">
        <references count="1">
          <reference field="1" count="1">
            <x v="33"/>
          </reference>
        </references>
      </pivotArea>
    </format>
    <format dxfId="9">
      <pivotArea collapsedLevelsAreSubtotals="1" fieldPosition="0">
        <references count="1">
          <reference field="1" count="1">
            <x v="34"/>
          </reference>
        </references>
      </pivotArea>
    </format>
    <format dxfId="8">
      <pivotArea collapsedLevelsAreSubtotals="1" fieldPosition="0">
        <references count="1">
          <reference field="1" count="1">
            <x v="35"/>
          </reference>
        </references>
      </pivotArea>
    </format>
    <format dxfId="7">
      <pivotArea collapsedLevelsAreSubtotals="1" fieldPosition="0">
        <references count="1">
          <reference field="1" count="1">
            <x v="36"/>
          </reference>
        </references>
      </pivotArea>
    </format>
    <format dxfId="6">
      <pivotArea collapsedLevelsAreSubtotals="1" fieldPosition="0">
        <references count="1">
          <reference field="1" count="1">
            <x v="37"/>
          </reference>
        </references>
      </pivotArea>
    </format>
    <format dxfId="5">
      <pivotArea grandRow="1" outline="0" collapsedLevelsAreSubtotals="1" fieldPosition="0"/>
    </format>
    <format dxfId="4">
      <pivotArea outline="0" collapsedLevelsAreSubtotals="1"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X3:Z84" firstHeaderRow="1" firstDataRow="2" firstDataCol="1"/>
  <pivotFields count="17">
    <pivotField axis="axisCol" showAll="0">
      <items count="2">
        <item x="0"/>
        <item t="default"/>
      </items>
    </pivotField>
    <pivotField axis="axisRow" showAll="0">
      <items count="80">
        <item x="9"/>
        <item x="34"/>
        <item x="5"/>
        <item x="6"/>
        <item x="7"/>
        <item x="76"/>
        <item x="77"/>
        <item x="78"/>
        <item x="0"/>
        <item x="1"/>
        <item x="2"/>
        <item x="3"/>
        <item x="4"/>
        <item x="8"/>
        <item x="10"/>
        <item x="11"/>
        <item x="12"/>
        <item x="13"/>
        <item x="14"/>
        <item x="15"/>
        <item x="16"/>
        <item x="17"/>
        <item x="18"/>
        <item x="19"/>
        <item x="20"/>
        <item x="21"/>
        <item x="22"/>
        <item x="23"/>
        <item x="24"/>
        <item x="25"/>
        <item x="26"/>
        <item x="27"/>
        <item x="28"/>
        <item x="29"/>
        <item x="30"/>
        <item x="31"/>
        <item x="32"/>
        <item x="33"/>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numFmtId="42" showAll="0" defaultSubtotal="0"/>
    <pivotField numFmtId="42" showAll="0" defaultSubtotal="0"/>
    <pivotField numFmtId="42" showAll="0" defaultSubtotal="0"/>
    <pivotField numFmtId="42" showAll="0" defaultSubtotal="0"/>
    <pivotField numFmtId="42" showAll="0" defaultSubtotal="0"/>
    <pivotField numFmtId="42" showAll="0" defaultSubtotal="0"/>
    <pivotField numFmtId="42" showAll="0" defaultSubtotal="0"/>
    <pivotField numFmtId="42" showAll="0" defaultSubtotal="0"/>
    <pivotField numFmtId="42" showAll="0" defaultSubtotal="0"/>
    <pivotField numFmtId="42" showAll="0" defaultSubtotal="0"/>
    <pivotField numFmtId="42" showAll="0" defaultSubtotal="0"/>
    <pivotField numFmtId="42" showAll="0" defaultSubtotal="0"/>
    <pivotField numFmtId="42" showAll="0" defaultSubtotal="0"/>
    <pivotField numFmtId="42" showAll="0" defaultSubtotal="0"/>
    <pivotField dataField="1" numFmtId="42" showAll="0"/>
  </pivotFields>
  <rowFields count="1">
    <field x="1"/>
  </rowFields>
  <rowItems count="8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t="grand">
      <x/>
    </i>
  </rowItems>
  <colFields count="1">
    <field x="0"/>
  </colFields>
  <colItems count="2">
    <i>
      <x/>
    </i>
    <i t="grand">
      <x/>
    </i>
  </colItems>
  <dataFields count="1">
    <dataField name="Nilai Produksi by Jenis Ikan (Rp.)" fld="16" baseField="0" baseItem="0" numFmtId="41"/>
  </dataFields>
  <formats count="1">
    <format dxfId="36">
      <pivotArea outline="0" collapsedLevelsAreSubtotals="1"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R3:T84" firstHeaderRow="1" firstDataRow="2" firstDataCol="1"/>
  <pivotFields count="17">
    <pivotField axis="axisCol" showAll="0">
      <items count="2">
        <item x="0"/>
        <item t="default"/>
      </items>
    </pivotField>
    <pivotField axis="axisRow" showAll="0">
      <items count="80">
        <item x="9"/>
        <item x="34"/>
        <item x="5"/>
        <item x="6"/>
        <item x="7"/>
        <item x="76"/>
        <item x="77"/>
        <item x="78"/>
        <item x="0"/>
        <item x="1"/>
        <item x="2"/>
        <item x="3"/>
        <item x="4"/>
        <item x="8"/>
        <item x="10"/>
        <item x="11"/>
        <item x="12"/>
        <item x="13"/>
        <item x="14"/>
        <item x="15"/>
        <item x="16"/>
        <item x="17"/>
        <item x="18"/>
        <item x="19"/>
        <item x="20"/>
        <item x="21"/>
        <item x="22"/>
        <item x="23"/>
        <item x="24"/>
        <item x="25"/>
        <item x="26"/>
        <item x="27"/>
        <item x="28"/>
        <item x="29"/>
        <item x="30"/>
        <item x="31"/>
        <item x="32"/>
        <item x="33"/>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numFmtId="41" showAll="0" defaultSubtotal="0"/>
    <pivotField numFmtId="41" showAll="0" defaultSubtotal="0"/>
    <pivotField numFmtId="41" showAll="0" defaultSubtotal="0"/>
    <pivotField numFmtId="41" showAll="0" defaultSubtotal="0"/>
    <pivotField numFmtId="41" showAll="0" defaultSubtotal="0"/>
    <pivotField numFmtId="41" showAll="0" defaultSubtotal="0"/>
    <pivotField numFmtId="41" showAll="0" defaultSubtotal="0"/>
    <pivotField numFmtId="41" showAll="0" defaultSubtotal="0"/>
    <pivotField numFmtId="41" showAll="0" defaultSubtotal="0"/>
    <pivotField numFmtId="41" showAll="0" defaultSubtotal="0"/>
    <pivotField numFmtId="41" showAll="0" defaultSubtotal="0"/>
    <pivotField numFmtId="41" showAll="0" defaultSubtotal="0"/>
    <pivotField numFmtId="41" showAll="0" defaultSubtotal="0"/>
    <pivotField numFmtId="41" showAll="0" defaultSubtotal="0"/>
    <pivotField dataField="1" numFmtId="41" showAll="0"/>
  </pivotFields>
  <rowFields count="1">
    <field x="1"/>
  </rowFields>
  <rowItems count="8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t="grand">
      <x/>
    </i>
  </rowItems>
  <colFields count="1">
    <field x="0"/>
  </colFields>
  <colItems count="2">
    <i>
      <x/>
    </i>
    <i t="grand">
      <x/>
    </i>
  </colItems>
  <dataFields count="1">
    <dataField name="Produksi by Jenis Ikan (Kg)" fld="16" baseField="0" baseItem="0" numFmtId="41"/>
  </dataFields>
  <formats count="1">
    <format dxfId="37">
      <pivotArea outline="0" collapsedLevelsAreSubtotals="1"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B3:E19" firstHeaderRow="1" firstDataRow="2" firstDataCol="1"/>
  <pivotFields count="4">
    <pivotField showAll="0"/>
    <pivotField axis="axisRow" showAll="0">
      <items count="515">
        <item m="1" x="209"/>
        <item m="1" x="137"/>
        <item m="1" x="483"/>
        <item m="1" x="90"/>
        <item m="1" x="103"/>
        <item m="1" x="194"/>
        <item m="1" x="410"/>
        <item m="1" x="284"/>
        <item m="1" x="189"/>
        <item m="1" x="258"/>
        <item m="1" x="58"/>
        <item m="1" x="368"/>
        <item m="1" x="100"/>
        <item m="1" x="146"/>
        <item m="1" x="176"/>
        <item m="1" x="138"/>
        <item m="1" x="59"/>
        <item m="1" x="24"/>
        <item m="1" x="84"/>
        <item m="1" x="381"/>
        <item m="1" x="357"/>
        <item m="1" x="384"/>
        <item m="1" x="35"/>
        <item m="1" x="193"/>
        <item m="1" x="122"/>
        <item m="1" x="216"/>
        <item m="1" x="106"/>
        <item m="1" x="233"/>
        <item m="1" x="199"/>
        <item m="1" x="349"/>
        <item m="1" x="157"/>
        <item m="1" x="99"/>
        <item m="1" x="331"/>
        <item m="1" x="110"/>
        <item m="1" x="72"/>
        <item m="1" x="66"/>
        <item m="1" x="219"/>
        <item x="0"/>
        <item x="1"/>
        <item x="2"/>
        <item m="1" x="269"/>
        <item m="1" x="270"/>
        <item m="1" x="289"/>
        <item m="1" x="293"/>
        <item m="1" x="455"/>
        <item m="1" x="255"/>
        <item m="1" x="111"/>
        <item m="1" x="330"/>
        <item m="1" x="335"/>
        <item m="1" x="402"/>
        <item m="1" x="344"/>
        <item m="1" x="459"/>
        <item m="1" x="446"/>
        <item m="1" x="450"/>
        <item m="1" x="501"/>
        <item m="1" x="509"/>
        <item m="1" x="43"/>
        <item m="1" x="491"/>
        <item m="1" x="173"/>
        <item m="1" x="358"/>
        <item m="1" x="353"/>
        <item m="1" x="454"/>
        <item m="1" x="420"/>
        <item m="1" x="75"/>
        <item m="1" x="288"/>
        <item m="1" x="506"/>
        <item m="1" x="465"/>
        <item m="1" x="310"/>
        <item m="1" x="327"/>
        <item m="1" x="439"/>
        <item m="1" x="160"/>
        <item m="1" x="468"/>
        <item m="1" x="374"/>
        <item m="1" x="232"/>
        <item m="1" x="430"/>
        <item m="1" x="241"/>
        <item m="1" x="251"/>
        <item m="1" x="371"/>
        <item m="1" x="26"/>
        <item m="1" x="302"/>
        <item m="1" x="19"/>
        <item m="1" x="315"/>
        <item m="1" x="369"/>
        <item m="1" x="254"/>
        <item m="1" x="513"/>
        <item m="1" x="23"/>
        <item m="1" x="178"/>
        <item m="1" x="389"/>
        <item m="1" x="431"/>
        <item m="1" x="81"/>
        <item m="1" x="65"/>
        <item m="1" x="400"/>
        <item m="1" x="412"/>
        <item m="1" x="435"/>
        <item m="1" x="462"/>
        <item m="1" x="512"/>
        <item m="1" x="80"/>
        <item m="1" x="29"/>
        <item m="1" x="25"/>
        <item m="1" x="62"/>
        <item m="1" x="172"/>
        <item m="1" x="283"/>
        <item m="1" x="200"/>
        <item m="1" x="44"/>
        <item m="1" x="188"/>
        <item m="1" x="212"/>
        <item m="1" x="364"/>
        <item m="1" x="89"/>
        <item m="1" x="96"/>
        <item m="1" x="370"/>
        <item m="1" x="392"/>
        <item x="3"/>
        <item m="1" x="472"/>
        <item m="1" x="383"/>
        <item m="1" x="419"/>
        <item m="1" x="97"/>
        <item m="1" x="309"/>
        <item m="1" x="263"/>
        <item m="1" x="92"/>
        <item m="1" x="98"/>
        <item m="1" x="479"/>
        <item m="1" x="48"/>
        <item m="1" x="313"/>
        <item m="1" x="470"/>
        <item m="1" x="350"/>
        <item m="1" x="365"/>
        <item m="1" x="101"/>
        <item m="1" x="329"/>
        <item m="1" x="140"/>
        <item m="1" x="443"/>
        <item m="1" x="359"/>
        <item m="1" x="60"/>
        <item m="1" x="179"/>
        <item m="1" x="51"/>
        <item m="1" x="119"/>
        <item x="4"/>
        <item m="1" x="206"/>
        <item m="1" x="155"/>
        <item m="1" x="273"/>
        <item m="1" x="469"/>
        <item m="1" x="18"/>
        <item m="1" x="142"/>
        <item x="5"/>
        <item m="1" x="272"/>
        <item m="1" x="433"/>
        <item m="1" x="184"/>
        <item m="1" x="64"/>
        <item m="1" x="277"/>
        <item m="1" x="463"/>
        <item m="1" x="243"/>
        <item m="1" x="275"/>
        <item m="1" x="488"/>
        <item m="1" x="248"/>
        <item m="1" x="405"/>
        <item m="1" x="252"/>
        <item m="1" x="53"/>
        <item m="1" x="476"/>
        <item m="1" x="356"/>
        <item m="1" x="170"/>
        <item m="1" x="79"/>
        <item m="1" x="181"/>
        <item m="1" x="85"/>
        <item m="1" x="271"/>
        <item m="1" x="427"/>
        <item m="1" x="257"/>
        <item m="1" x="351"/>
        <item m="1" x="227"/>
        <item m="1" x="231"/>
        <item m="1" x="32"/>
        <item m="1" x="222"/>
        <item m="1" x="145"/>
        <item m="1" x="408"/>
        <item x="6"/>
        <item x="7"/>
        <item m="1" x="151"/>
        <item m="1" x="204"/>
        <item m="1" x="120"/>
        <item m="1" x="417"/>
        <item m="1" x="460"/>
        <item m="1" x="379"/>
        <item m="1" x="150"/>
        <item m="1" x="27"/>
        <item m="1" x="440"/>
        <item m="1" x="291"/>
        <item m="1" x="127"/>
        <item m="1" x="180"/>
        <item m="1" x="166"/>
        <item x="8"/>
        <item m="1" x="246"/>
        <item m="1" x="382"/>
        <item m="1" x="214"/>
        <item m="1" x="224"/>
        <item m="1" x="213"/>
        <item m="1" x="15"/>
        <item m="1" x="205"/>
        <item m="1" x="480"/>
        <item m="1" x="496"/>
        <item m="1" x="30"/>
        <item m="1" x="380"/>
        <item m="1" x="286"/>
        <item m="1" x="235"/>
        <item m="1" x="192"/>
        <item m="1" x="20"/>
        <item m="1" x="91"/>
        <item m="1" x="355"/>
        <item m="1" x="230"/>
        <item m="1" x="190"/>
        <item m="1" x="156"/>
        <item m="1" x="253"/>
        <item m="1" x="49"/>
        <item m="1" x="33"/>
        <item m="1" x="262"/>
        <item m="1" x="505"/>
        <item m="1" x="201"/>
        <item m="1" x="339"/>
        <item m="1" x="218"/>
        <item m="1" x="236"/>
        <item m="1" x="223"/>
        <item m="1" x="229"/>
        <item m="1" x="492"/>
        <item m="1" x="162"/>
        <item m="1" x="112"/>
        <item m="1" x="239"/>
        <item m="1" x="207"/>
        <item m="1" x="108"/>
        <item m="1" x="225"/>
        <item m="1" x="121"/>
        <item m="1" x="168"/>
        <item m="1" x="71"/>
        <item m="1" x="386"/>
        <item m="1" x="437"/>
        <item m="1" x="37"/>
        <item m="1" x="481"/>
        <item m="1" x="500"/>
        <item m="1" x="281"/>
        <item m="1" x="482"/>
        <item m="1" x="448"/>
        <item m="1" x="438"/>
        <item m="1" x="164"/>
        <item m="1" x="466"/>
        <item m="1" x="451"/>
        <item m="1" x="245"/>
        <item m="1" x="296"/>
        <item m="1" x="401"/>
        <item m="1" x="88"/>
        <item m="1" x="343"/>
        <item m="1" x="396"/>
        <item m="1" x="237"/>
        <item m="1" x="409"/>
        <item m="1" x="125"/>
        <item m="1" x="22"/>
        <item m="1" x="499"/>
        <item m="1" x="453"/>
        <item m="1" x="486"/>
        <item m="1" x="305"/>
        <item m="1" x="354"/>
        <item x="9"/>
        <item m="1" x="340"/>
        <item m="1" x="316"/>
        <item m="1" x="324"/>
        <item m="1" x="238"/>
        <item m="1" x="182"/>
        <item m="1" x="411"/>
        <item m="1" x="510"/>
        <item m="1" x="317"/>
        <item m="1" x="148"/>
        <item m="1" x="153"/>
        <item m="1" x="367"/>
        <item m="1" x="406"/>
        <item m="1" x="452"/>
        <item m="1" x="280"/>
        <item m="1" x="319"/>
        <item m="1" x="325"/>
        <item m="1" x="441"/>
        <item m="1" x="434"/>
        <item m="1" x="36"/>
        <item m="1" x="504"/>
        <item m="1" x="413"/>
        <item m="1" x="195"/>
        <item m="1" x="282"/>
        <item m="1" x="61"/>
        <item m="1" x="131"/>
        <item m="1" x="318"/>
        <item m="1" x="464"/>
        <item m="1" x="45"/>
        <item m="1" x="474"/>
        <item m="1" x="136"/>
        <item m="1" x="47"/>
        <item m="1" x="256"/>
        <item m="1" x="471"/>
        <item m="1" x="132"/>
        <item m="1" x="366"/>
        <item m="1" x="56"/>
        <item m="1" x="498"/>
        <item m="1" x="336"/>
        <item m="1" x="21"/>
        <item m="1" x="301"/>
        <item m="1" x="347"/>
        <item m="1" x="215"/>
        <item m="1" x="143"/>
        <item m="1" x="348"/>
        <item m="1" x="250"/>
        <item m="1" x="16"/>
        <item m="1" x="74"/>
        <item m="1" x="416"/>
        <item m="1" x="268"/>
        <item m="1" x="264"/>
        <item m="1" x="422"/>
        <item m="1" x="67"/>
        <item m="1" x="177"/>
        <item m="1" x="414"/>
        <item m="1" x="332"/>
        <item m="1" x="502"/>
        <item x="10"/>
        <item m="1" x="69"/>
        <item m="1" x="321"/>
        <item m="1" x="198"/>
        <item m="1" x="247"/>
        <item m="1" x="449"/>
        <item m="1" x="159"/>
        <item m="1" x="387"/>
        <item m="1" x="139"/>
        <item m="1" x="124"/>
        <item m="1" x="134"/>
        <item m="1" x="320"/>
        <item m="1" x="57"/>
        <item m="1" x="458"/>
        <item m="1" x="116"/>
        <item m="1" x="376"/>
        <item m="1" x="102"/>
        <item m="1" x="76"/>
        <item m="1" x="298"/>
        <item m="1" x="477"/>
        <item m="1" x="167"/>
        <item m="1" x="144"/>
        <item m="1" x="495"/>
        <item m="1" x="326"/>
        <item m="1" x="114"/>
        <item m="1" x="163"/>
        <item m="1" x="393"/>
        <item m="1" x="208"/>
        <item x="11"/>
        <item m="1" x="497"/>
        <item m="1" x="338"/>
        <item m="1" x="424"/>
        <item m="1" x="174"/>
        <item m="1" x="77"/>
        <item m="1" x="297"/>
        <item m="1" x="337"/>
        <item m="1" x="265"/>
        <item m="1" x="511"/>
        <item m="1" x="197"/>
        <item m="1" x="135"/>
        <item m="1" x="294"/>
        <item m="1" x="314"/>
        <item m="1" x="276"/>
        <item m="1" x="169"/>
        <item m="1" x="113"/>
        <item m="1" x="226"/>
        <item m="1" x="28"/>
        <item m="1" x="403"/>
        <item m="1" x="445"/>
        <item x="12"/>
        <item m="1" x="126"/>
        <item m="1" x="490"/>
        <item m="1" x="493"/>
        <item m="1" x="432"/>
        <item m="1" x="300"/>
        <item m="1" x="17"/>
        <item m="1" x="185"/>
        <item m="1" x="503"/>
        <item m="1" x="388"/>
        <item m="1" x="104"/>
        <item m="1" x="295"/>
        <item m="1" x="50"/>
        <item m="1" x="118"/>
        <item m="1" x="507"/>
        <item m="1" x="94"/>
        <item m="1" x="467"/>
        <item m="1" x="290"/>
        <item m="1" x="303"/>
        <item m="1" x="186"/>
        <item m="1" x="46"/>
        <item m="1" x="287"/>
        <item m="1" x="228"/>
        <item m="1" x="14"/>
        <item m="1" x="83"/>
        <item m="1" x="63"/>
        <item m="1" x="68"/>
        <item m="1" x="39"/>
        <item m="1" x="95"/>
        <item m="1" x="346"/>
        <item m="1" x="171"/>
        <item m="1" x="292"/>
        <item m="1" x="149"/>
        <item m="1" x="93"/>
        <item m="1" x="306"/>
        <item m="1" x="334"/>
        <item m="1" x="312"/>
        <item m="1" x="375"/>
        <item m="1" x="404"/>
        <item m="1" x="299"/>
        <item m="1" x="234"/>
        <item m="1" x="129"/>
        <item m="1" x="494"/>
        <item m="1" x="196"/>
        <item m="1" x="342"/>
        <item m="1" x="267"/>
        <item m="1" x="333"/>
        <item m="1" x="34"/>
        <item m="1" x="508"/>
        <item m="1" x="279"/>
        <item m="1" x="485"/>
        <item m="1" x="52"/>
        <item m="1" x="203"/>
        <item m="1" x="323"/>
        <item m="1" x="308"/>
        <item m="1" x="109"/>
        <item m="1" x="418"/>
        <item m="1" x="345"/>
        <item m="1" x="399"/>
        <item m="1" x="70"/>
        <item m="1" x="41"/>
        <item m="1" x="478"/>
        <item m="1" x="42"/>
        <item m="1" x="133"/>
        <item m="1" x="390"/>
        <item m="1" x="55"/>
        <item m="1" x="311"/>
        <item m="1" x="183"/>
        <item m="1" x="107"/>
        <item m="1" x="328"/>
        <item m="1" x="487"/>
        <item m="1" x="211"/>
        <item m="1" x="86"/>
        <item m="1" x="377"/>
        <item m="1" x="128"/>
        <item m="1" x="395"/>
        <item m="1" x="456"/>
        <item m="1" x="38"/>
        <item m="1" x="249"/>
        <item m="1" x="398"/>
        <item m="1" x="397"/>
        <item m="1" x="130"/>
        <item m="1" x="123"/>
        <item m="1" x="278"/>
        <item m="1" x="489"/>
        <item m="1" x="407"/>
        <item m="1" x="240"/>
        <item m="1" x="475"/>
        <item m="1" x="158"/>
        <item m="1" x="105"/>
        <item m="1" x="152"/>
        <item m="1" x="429"/>
        <item m="1" x="421"/>
        <item m="1" x="115"/>
        <item m="1" x="266"/>
        <item m="1" x="341"/>
        <item m="1" x="82"/>
        <item m="1" x="304"/>
        <item m="1" x="362"/>
        <item m="1" x="260"/>
        <item m="1" x="426"/>
        <item m="1" x="361"/>
        <item m="1" x="372"/>
        <item m="1" x="141"/>
        <item m="1" x="444"/>
        <item m="1" x="244"/>
        <item m="1" x="175"/>
        <item m="1" x="54"/>
        <item m="1" x="373"/>
        <item x="13"/>
        <item m="1" x="425"/>
        <item m="1" x="217"/>
        <item m="1" x="307"/>
        <item m="1" x="261"/>
        <item m="1" x="428"/>
        <item m="1" x="457"/>
        <item m="1" x="31"/>
        <item m="1" x="274"/>
        <item m="1" x="385"/>
        <item m="1" x="220"/>
        <item m="1" x="394"/>
        <item m="1" x="117"/>
        <item m="1" x="461"/>
        <item m="1" x="40"/>
        <item m="1" x="423"/>
        <item m="1" x="202"/>
        <item m="1" x="221"/>
        <item m="1" x="378"/>
        <item m="1" x="363"/>
        <item m="1" x="436"/>
        <item m="1" x="285"/>
        <item m="1" x="442"/>
        <item m="1" x="352"/>
        <item m="1" x="165"/>
        <item m="1" x="242"/>
        <item m="1" x="484"/>
        <item m="1" x="415"/>
        <item m="1" x="187"/>
        <item m="1" x="191"/>
        <item m="1" x="87"/>
        <item m="1" x="360"/>
        <item m="1" x="161"/>
        <item m="1" x="473"/>
        <item m="1" x="147"/>
        <item m="1" x="154"/>
        <item m="1" x="447"/>
        <item m="1" x="210"/>
        <item m="1" x="391"/>
        <item m="1" x="78"/>
        <item m="1" x="259"/>
        <item m="1" x="322"/>
        <item m="1" x="73"/>
        <item t="default"/>
      </items>
    </pivotField>
    <pivotField axis="axisCol" showAll="0">
      <items count="5">
        <item m="1" x="3"/>
        <item m="1" x="2"/>
        <item x="0"/>
        <item x="1"/>
        <item t="default"/>
      </items>
    </pivotField>
    <pivotField dataField="1" numFmtId="165" showAll="0"/>
  </pivotFields>
  <rowFields count="1">
    <field x="1"/>
  </rowFields>
  <rowItems count="15">
    <i>
      <x v="37"/>
    </i>
    <i>
      <x v="38"/>
    </i>
    <i>
      <x v="39"/>
    </i>
    <i>
      <x v="111"/>
    </i>
    <i>
      <x v="135"/>
    </i>
    <i>
      <x v="142"/>
    </i>
    <i>
      <x v="172"/>
    </i>
    <i>
      <x v="173"/>
    </i>
    <i>
      <x v="187"/>
    </i>
    <i>
      <x v="256"/>
    </i>
    <i>
      <x v="313"/>
    </i>
    <i>
      <x v="341"/>
    </i>
    <i>
      <x v="362"/>
    </i>
    <i>
      <x v="471"/>
    </i>
    <i t="grand">
      <x/>
    </i>
  </rowItems>
  <colFields count="1">
    <field x="2"/>
  </colFields>
  <colItems count="3">
    <i>
      <x v="2"/>
    </i>
    <i>
      <x v="3"/>
    </i>
    <i t="grand">
      <x/>
    </i>
  </colItems>
  <dataFields count="1">
    <dataField name="Sum of Jumlah_RTP" fld="3" baseField="0" baseItem="0" numFmtId="41"/>
  </dataFields>
  <formats count="1">
    <format dxfId="38">
      <pivotArea outline="0" collapsedLevelsAreSubtotals="1"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B3:AS6" firstHeaderRow="1" firstDataRow="3" firstDataCol="1" rowPageCount="1" colPageCount="1"/>
  <pivotFields count="9">
    <pivotField axis="axisPage" multipleItemSelectionAllowed="1" showAll="0">
      <items count="35">
        <item h="1" m="1" x="11"/>
        <item h="1" m="1" x="29"/>
        <item h="1" m="1" x="13"/>
        <item h="1" m="1" x="26"/>
        <item h="1" m="1" x="8"/>
        <item h="1" m="1" x="27"/>
        <item h="1" m="1" x="16"/>
        <item h="1" m="1" x="21"/>
        <item h="1" m="1" x="22"/>
        <item h="1" m="1" x="1"/>
        <item m="1" x="14"/>
        <item h="1" m="1" x="23"/>
        <item h="1" m="1" x="25"/>
        <item x="0"/>
        <item h="1" m="1" x="28"/>
        <item h="1" m="1" x="10"/>
        <item h="1" m="1" x="33"/>
        <item h="1" m="1" x="2"/>
        <item h="1" m="1" x="17"/>
        <item h="1" m="1" x="7"/>
        <item h="1" m="1" x="24"/>
        <item h="1" m="1" x="32"/>
        <item h="1" m="1" x="9"/>
        <item h="1" m="1" x="20"/>
        <item h="1" m="1" x="3"/>
        <item h="1" m="1" x="4"/>
        <item h="1" m="1" x="18"/>
        <item h="1" m="1" x="30"/>
        <item h="1" m="1" x="12"/>
        <item h="1" m="1" x="31"/>
        <item h="1" m="1" x="5"/>
        <item h="1" m="1" x="19"/>
        <item h="1" m="1" x="15"/>
        <item h="1" m="1" x="6"/>
        <item t="default"/>
      </items>
    </pivotField>
    <pivotField axis="axisCol" showAll="0">
      <items count="515">
        <item m="1" x="209"/>
        <item m="1" x="137"/>
        <item m="1" x="483"/>
        <item m="1" x="90"/>
        <item m="1" x="103"/>
        <item m="1" x="194"/>
        <item m="1" x="410"/>
        <item m="1" x="284"/>
        <item m="1" x="189"/>
        <item m="1" x="258"/>
        <item m="1" x="58"/>
        <item m="1" x="368"/>
        <item m="1" x="100"/>
        <item m="1" x="146"/>
        <item m="1" x="176"/>
        <item m="1" x="138"/>
        <item m="1" x="59"/>
        <item m="1" x="24"/>
        <item m="1" x="84"/>
        <item m="1" x="381"/>
        <item m="1" x="357"/>
        <item m="1" x="384"/>
        <item m="1" x="35"/>
        <item m="1" x="193"/>
        <item m="1" x="122"/>
        <item m="1" x="216"/>
        <item m="1" x="106"/>
        <item m="1" x="233"/>
        <item m="1" x="199"/>
        <item m="1" x="349"/>
        <item m="1" x="157"/>
        <item m="1" x="99"/>
        <item m="1" x="331"/>
        <item m="1" x="110"/>
        <item m="1" x="72"/>
        <item m="1" x="66"/>
        <item m="1" x="219"/>
        <item x="0"/>
        <item x="1"/>
        <item x="2"/>
        <item m="1" x="269"/>
        <item m="1" x="270"/>
        <item m="1" x="289"/>
        <item m="1" x="293"/>
        <item m="1" x="455"/>
        <item m="1" x="255"/>
        <item m="1" x="111"/>
        <item m="1" x="330"/>
        <item m="1" x="335"/>
        <item m="1" x="402"/>
        <item m="1" x="344"/>
        <item m="1" x="459"/>
        <item m="1" x="446"/>
        <item m="1" x="450"/>
        <item m="1" x="501"/>
        <item m="1" x="509"/>
        <item m="1" x="43"/>
        <item m="1" x="491"/>
        <item m="1" x="173"/>
        <item m="1" x="358"/>
        <item m="1" x="353"/>
        <item m="1" x="454"/>
        <item m="1" x="420"/>
        <item m="1" x="75"/>
        <item m="1" x="288"/>
        <item m="1" x="506"/>
        <item m="1" x="465"/>
        <item m="1" x="310"/>
        <item m="1" x="327"/>
        <item m="1" x="439"/>
        <item m="1" x="160"/>
        <item m="1" x="468"/>
        <item m="1" x="374"/>
        <item m="1" x="232"/>
        <item m="1" x="430"/>
        <item m="1" x="241"/>
        <item m="1" x="251"/>
        <item m="1" x="371"/>
        <item m="1" x="26"/>
        <item m="1" x="302"/>
        <item m="1" x="19"/>
        <item m="1" x="315"/>
        <item m="1" x="369"/>
        <item m="1" x="254"/>
        <item m="1" x="513"/>
        <item m="1" x="23"/>
        <item m="1" x="178"/>
        <item m="1" x="389"/>
        <item m="1" x="431"/>
        <item m="1" x="81"/>
        <item m="1" x="65"/>
        <item m="1" x="400"/>
        <item m="1" x="412"/>
        <item m="1" x="435"/>
        <item m="1" x="462"/>
        <item m="1" x="512"/>
        <item m="1" x="80"/>
        <item m="1" x="29"/>
        <item m="1" x="25"/>
        <item m="1" x="62"/>
        <item m="1" x="172"/>
        <item m="1" x="283"/>
        <item m="1" x="200"/>
        <item m="1" x="44"/>
        <item m="1" x="188"/>
        <item m="1" x="212"/>
        <item m="1" x="364"/>
        <item m="1" x="89"/>
        <item m="1" x="96"/>
        <item m="1" x="370"/>
        <item m="1" x="392"/>
        <item x="3"/>
        <item m="1" x="472"/>
        <item m="1" x="383"/>
        <item m="1" x="419"/>
        <item m="1" x="97"/>
        <item m="1" x="309"/>
        <item m="1" x="263"/>
        <item m="1" x="92"/>
        <item m="1" x="98"/>
        <item m="1" x="479"/>
        <item m="1" x="48"/>
        <item m="1" x="313"/>
        <item m="1" x="470"/>
        <item m="1" x="350"/>
        <item m="1" x="365"/>
        <item m="1" x="101"/>
        <item m="1" x="329"/>
        <item m="1" x="140"/>
        <item m="1" x="443"/>
        <item m="1" x="359"/>
        <item m="1" x="60"/>
        <item m="1" x="179"/>
        <item m="1" x="51"/>
        <item m="1" x="119"/>
        <item x="4"/>
        <item m="1" x="206"/>
        <item m="1" x="155"/>
        <item m="1" x="273"/>
        <item m="1" x="469"/>
        <item m="1" x="18"/>
        <item m="1" x="142"/>
        <item x="5"/>
        <item m="1" x="272"/>
        <item m="1" x="433"/>
        <item m="1" x="184"/>
        <item m="1" x="64"/>
        <item m="1" x="277"/>
        <item m="1" x="463"/>
        <item m="1" x="243"/>
        <item m="1" x="275"/>
        <item m="1" x="488"/>
        <item m="1" x="248"/>
        <item m="1" x="405"/>
        <item m="1" x="252"/>
        <item m="1" x="53"/>
        <item m="1" x="476"/>
        <item m="1" x="356"/>
        <item m="1" x="170"/>
        <item m="1" x="79"/>
        <item m="1" x="181"/>
        <item m="1" x="85"/>
        <item m="1" x="271"/>
        <item m="1" x="427"/>
        <item m="1" x="257"/>
        <item m="1" x="351"/>
        <item m="1" x="227"/>
        <item m="1" x="231"/>
        <item m="1" x="32"/>
        <item m="1" x="222"/>
        <item m="1" x="145"/>
        <item m="1" x="408"/>
        <item x="6"/>
        <item x="7"/>
        <item m="1" x="151"/>
        <item m="1" x="204"/>
        <item m="1" x="120"/>
        <item m="1" x="417"/>
        <item m="1" x="460"/>
        <item m="1" x="379"/>
        <item m="1" x="150"/>
        <item m="1" x="27"/>
        <item m="1" x="440"/>
        <item m="1" x="291"/>
        <item m="1" x="127"/>
        <item m="1" x="180"/>
        <item m="1" x="166"/>
        <item x="8"/>
        <item m="1" x="246"/>
        <item m="1" x="382"/>
        <item m="1" x="214"/>
        <item m="1" x="224"/>
        <item m="1" x="213"/>
        <item m="1" x="15"/>
        <item m="1" x="205"/>
        <item m="1" x="480"/>
        <item m="1" x="496"/>
        <item m="1" x="30"/>
        <item m="1" x="380"/>
        <item m="1" x="286"/>
        <item m="1" x="235"/>
        <item m="1" x="192"/>
        <item m="1" x="20"/>
        <item m="1" x="91"/>
        <item m="1" x="355"/>
        <item m="1" x="230"/>
        <item m="1" x="190"/>
        <item m="1" x="156"/>
        <item m="1" x="253"/>
        <item m="1" x="49"/>
        <item m="1" x="33"/>
        <item m="1" x="262"/>
        <item m="1" x="505"/>
        <item m="1" x="201"/>
        <item m="1" x="339"/>
        <item m="1" x="218"/>
        <item m="1" x="236"/>
        <item m="1" x="223"/>
        <item m="1" x="229"/>
        <item m="1" x="492"/>
        <item m="1" x="162"/>
        <item m="1" x="112"/>
        <item m="1" x="239"/>
        <item m="1" x="207"/>
        <item m="1" x="108"/>
        <item m="1" x="225"/>
        <item m="1" x="121"/>
        <item m="1" x="168"/>
        <item m="1" x="71"/>
        <item m="1" x="386"/>
        <item m="1" x="437"/>
        <item m="1" x="37"/>
        <item m="1" x="481"/>
        <item m="1" x="500"/>
        <item m="1" x="281"/>
        <item m="1" x="482"/>
        <item m="1" x="448"/>
        <item m="1" x="438"/>
        <item m="1" x="164"/>
        <item m="1" x="466"/>
        <item m="1" x="451"/>
        <item m="1" x="245"/>
        <item m="1" x="296"/>
        <item m="1" x="401"/>
        <item m="1" x="88"/>
        <item m="1" x="343"/>
        <item m="1" x="396"/>
        <item m="1" x="237"/>
        <item m="1" x="409"/>
        <item m="1" x="125"/>
        <item m="1" x="22"/>
        <item m="1" x="499"/>
        <item m="1" x="453"/>
        <item m="1" x="486"/>
        <item m="1" x="305"/>
        <item m="1" x="354"/>
        <item x="9"/>
        <item m="1" x="340"/>
        <item m="1" x="316"/>
        <item m="1" x="324"/>
        <item m="1" x="238"/>
        <item m="1" x="182"/>
        <item m="1" x="411"/>
        <item m="1" x="510"/>
        <item m="1" x="317"/>
        <item m="1" x="148"/>
        <item m="1" x="153"/>
        <item m="1" x="367"/>
        <item m="1" x="406"/>
        <item m="1" x="452"/>
        <item m="1" x="280"/>
        <item m="1" x="319"/>
        <item m="1" x="325"/>
        <item m="1" x="441"/>
        <item m="1" x="434"/>
        <item m="1" x="36"/>
        <item m="1" x="504"/>
        <item m="1" x="413"/>
        <item m="1" x="195"/>
        <item m="1" x="282"/>
        <item m="1" x="61"/>
        <item m="1" x="131"/>
        <item m="1" x="318"/>
        <item m="1" x="464"/>
        <item m="1" x="45"/>
        <item m="1" x="474"/>
        <item m="1" x="136"/>
        <item m="1" x="47"/>
        <item m="1" x="256"/>
        <item m="1" x="471"/>
        <item m="1" x="132"/>
        <item m="1" x="366"/>
        <item m="1" x="56"/>
        <item m="1" x="498"/>
        <item m="1" x="336"/>
        <item m="1" x="21"/>
        <item m="1" x="301"/>
        <item m="1" x="347"/>
        <item m="1" x="215"/>
        <item m="1" x="143"/>
        <item m="1" x="348"/>
        <item m="1" x="250"/>
        <item m="1" x="16"/>
        <item m="1" x="74"/>
        <item m="1" x="416"/>
        <item m="1" x="268"/>
        <item m="1" x="264"/>
        <item m="1" x="422"/>
        <item m="1" x="67"/>
        <item m="1" x="177"/>
        <item m="1" x="414"/>
        <item m="1" x="332"/>
        <item m="1" x="502"/>
        <item x="10"/>
        <item m="1" x="69"/>
        <item m="1" x="321"/>
        <item m="1" x="198"/>
        <item m="1" x="247"/>
        <item m="1" x="449"/>
        <item m="1" x="159"/>
        <item m="1" x="387"/>
        <item m="1" x="139"/>
        <item m="1" x="124"/>
        <item m="1" x="134"/>
        <item m="1" x="320"/>
        <item m="1" x="57"/>
        <item m="1" x="458"/>
        <item m="1" x="116"/>
        <item m="1" x="376"/>
        <item m="1" x="102"/>
        <item m="1" x="76"/>
        <item m="1" x="298"/>
        <item m="1" x="477"/>
        <item m="1" x="167"/>
        <item m="1" x="144"/>
        <item m="1" x="495"/>
        <item m="1" x="326"/>
        <item m="1" x="114"/>
        <item m="1" x="163"/>
        <item m="1" x="393"/>
        <item m="1" x="208"/>
        <item x="11"/>
        <item m="1" x="497"/>
        <item m="1" x="338"/>
        <item m="1" x="424"/>
        <item m="1" x="174"/>
        <item m="1" x="77"/>
        <item m="1" x="297"/>
        <item m="1" x="337"/>
        <item m="1" x="265"/>
        <item m="1" x="511"/>
        <item m="1" x="197"/>
        <item m="1" x="135"/>
        <item m="1" x="294"/>
        <item m="1" x="314"/>
        <item m="1" x="276"/>
        <item m="1" x="169"/>
        <item m="1" x="113"/>
        <item m="1" x="226"/>
        <item m="1" x="28"/>
        <item m="1" x="403"/>
        <item m="1" x="445"/>
        <item x="12"/>
        <item m="1" x="126"/>
        <item m="1" x="490"/>
        <item m="1" x="493"/>
        <item m="1" x="432"/>
        <item m="1" x="300"/>
        <item m="1" x="17"/>
        <item m="1" x="185"/>
        <item m="1" x="503"/>
        <item m="1" x="388"/>
        <item m="1" x="104"/>
        <item m="1" x="295"/>
        <item m="1" x="50"/>
        <item m="1" x="118"/>
        <item m="1" x="507"/>
        <item m="1" x="94"/>
        <item m="1" x="467"/>
        <item m="1" x="290"/>
        <item m="1" x="303"/>
        <item m="1" x="186"/>
        <item m="1" x="46"/>
        <item m="1" x="287"/>
        <item m="1" x="228"/>
        <item m="1" x="14"/>
        <item m="1" x="83"/>
        <item m="1" x="63"/>
        <item m="1" x="68"/>
        <item m="1" x="39"/>
        <item m="1" x="95"/>
        <item m="1" x="346"/>
        <item m="1" x="171"/>
        <item m="1" x="292"/>
        <item m="1" x="149"/>
        <item m="1" x="93"/>
        <item m="1" x="306"/>
        <item m="1" x="334"/>
        <item m="1" x="312"/>
        <item m="1" x="375"/>
        <item m="1" x="404"/>
        <item m="1" x="299"/>
        <item m="1" x="234"/>
        <item m="1" x="129"/>
        <item m="1" x="494"/>
        <item m="1" x="196"/>
        <item m="1" x="342"/>
        <item m="1" x="267"/>
        <item m="1" x="333"/>
        <item m="1" x="34"/>
        <item m="1" x="508"/>
        <item m="1" x="279"/>
        <item m="1" x="485"/>
        <item m="1" x="52"/>
        <item m="1" x="203"/>
        <item m="1" x="323"/>
        <item m="1" x="308"/>
        <item m="1" x="109"/>
        <item m="1" x="418"/>
        <item m="1" x="345"/>
        <item m="1" x="399"/>
        <item m="1" x="70"/>
        <item m="1" x="41"/>
        <item m="1" x="478"/>
        <item m="1" x="42"/>
        <item m="1" x="133"/>
        <item m="1" x="390"/>
        <item m="1" x="55"/>
        <item m="1" x="311"/>
        <item m="1" x="183"/>
        <item m="1" x="107"/>
        <item m="1" x="328"/>
        <item m="1" x="487"/>
        <item m="1" x="211"/>
        <item m="1" x="86"/>
        <item m="1" x="377"/>
        <item m="1" x="128"/>
        <item m="1" x="395"/>
        <item m="1" x="456"/>
        <item m="1" x="38"/>
        <item m="1" x="249"/>
        <item m="1" x="398"/>
        <item m="1" x="397"/>
        <item m="1" x="130"/>
        <item m="1" x="123"/>
        <item m="1" x="278"/>
        <item m="1" x="489"/>
        <item m="1" x="407"/>
        <item m="1" x="240"/>
        <item m="1" x="475"/>
        <item m="1" x="158"/>
        <item m="1" x="105"/>
        <item m="1" x="152"/>
        <item m="1" x="429"/>
        <item m="1" x="421"/>
        <item m="1" x="115"/>
        <item m="1" x="266"/>
        <item m="1" x="341"/>
        <item m="1" x="82"/>
        <item m="1" x="304"/>
        <item m="1" x="362"/>
        <item m="1" x="260"/>
        <item m="1" x="426"/>
        <item m="1" x="361"/>
        <item m="1" x="372"/>
        <item m="1" x="141"/>
        <item m="1" x="444"/>
        <item m="1" x="244"/>
        <item m="1" x="175"/>
        <item m="1" x="54"/>
        <item m="1" x="373"/>
        <item x="13"/>
        <item m="1" x="425"/>
        <item m="1" x="217"/>
        <item m="1" x="307"/>
        <item m="1" x="261"/>
        <item m="1" x="428"/>
        <item m="1" x="457"/>
        <item m="1" x="31"/>
        <item m="1" x="274"/>
        <item m="1" x="385"/>
        <item m="1" x="220"/>
        <item m="1" x="394"/>
        <item m="1" x="117"/>
        <item m="1" x="461"/>
        <item m="1" x="40"/>
        <item m="1" x="423"/>
        <item m="1" x="202"/>
        <item m="1" x="221"/>
        <item m="1" x="378"/>
        <item m="1" x="363"/>
        <item m="1" x="436"/>
        <item m="1" x="285"/>
        <item m="1" x="442"/>
        <item m="1" x="352"/>
        <item m="1" x="165"/>
        <item m="1" x="242"/>
        <item m="1" x="484"/>
        <item m="1" x="415"/>
        <item m="1" x="187"/>
        <item m="1" x="191"/>
        <item m="1" x="87"/>
        <item m="1" x="360"/>
        <item m="1" x="161"/>
        <item m="1" x="473"/>
        <item m="1" x="147"/>
        <item m="1" x="154"/>
        <item m="1" x="447"/>
        <item m="1" x="210"/>
        <item m="1" x="391"/>
        <item m="1" x="78"/>
        <item m="1" x="259"/>
        <item m="1" x="322"/>
        <item m="1" x="73"/>
        <item t="default"/>
      </items>
    </pivotField>
    <pivotField showAll="0"/>
    <pivotField axis="axisCol" showAll="0">
      <items count="5">
        <item m="1" x="2"/>
        <item m="1" x="3"/>
        <item x="0"/>
        <item x="1"/>
        <item t="default"/>
      </items>
    </pivotField>
    <pivotField showAll="0"/>
    <pivotField showAll="0"/>
    <pivotField numFmtId="165" showAll="0"/>
    <pivotField numFmtId="165" showAll="0"/>
    <pivotField dataField="1" numFmtId="165" showAll="0"/>
  </pivotFields>
  <rowItems count="1">
    <i/>
  </rowItems>
  <colFields count="2">
    <field x="1"/>
    <field x="3"/>
  </colFields>
  <colItems count="43">
    <i>
      <x v="37"/>
      <x v="2"/>
    </i>
    <i r="1">
      <x v="3"/>
    </i>
    <i t="default">
      <x v="37"/>
    </i>
    <i>
      <x v="38"/>
      <x v="2"/>
    </i>
    <i r="1">
      <x v="3"/>
    </i>
    <i t="default">
      <x v="38"/>
    </i>
    <i>
      <x v="39"/>
      <x v="2"/>
    </i>
    <i r="1">
      <x v="3"/>
    </i>
    <i t="default">
      <x v="39"/>
    </i>
    <i>
      <x v="111"/>
      <x v="2"/>
    </i>
    <i r="1">
      <x v="3"/>
    </i>
    <i t="default">
      <x v="111"/>
    </i>
    <i>
      <x v="135"/>
      <x v="2"/>
    </i>
    <i r="1">
      <x v="3"/>
    </i>
    <i t="default">
      <x v="135"/>
    </i>
    <i>
      <x v="142"/>
      <x v="2"/>
    </i>
    <i r="1">
      <x v="3"/>
    </i>
    <i t="default">
      <x v="142"/>
    </i>
    <i>
      <x v="172"/>
      <x v="2"/>
    </i>
    <i r="1">
      <x v="3"/>
    </i>
    <i t="default">
      <x v="172"/>
    </i>
    <i>
      <x v="173"/>
      <x v="2"/>
    </i>
    <i r="1">
      <x v="3"/>
    </i>
    <i t="default">
      <x v="173"/>
    </i>
    <i>
      <x v="187"/>
      <x v="2"/>
    </i>
    <i r="1">
      <x v="3"/>
    </i>
    <i t="default">
      <x v="187"/>
    </i>
    <i>
      <x v="256"/>
      <x v="2"/>
    </i>
    <i r="1">
      <x v="3"/>
    </i>
    <i t="default">
      <x v="256"/>
    </i>
    <i>
      <x v="313"/>
      <x v="2"/>
    </i>
    <i r="1">
      <x v="3"/>
    </i>
    <i t="default">
      <x v="313"/>
    </i>
    <i>
      <x v="341"/>
      <x v="2"/>
    </i>
    <i r="1">
      <x v="3"/>
    </i>
    <i t="default">
      <x v="341"/>
    </i>
    <i>
      <x v="362"/>
      <x v="2"/>
    </i>
    <i r="1">
      <x v="3"/>
    </i>
    <i t="default">
      <x v="362"/>
    </i>
    <i>
      <x v="471"/>
      <x v="2"/>
    </i>
    <i r="1">
      <x v="3"/>
    </i>
    <i t="default">
      <x v="471"/>
    </i>
    <i t="grand">
      <x/>
    </i>
  </colItems>
  <pageFields count="1">
    <pageField fld="0" hier="-1"/>
  </pageFields>
  <dataFields count="1">
    <dataField name="Produksi by Jenis Budidaya (Sheet 3)" fld="8" baseField="4" baseItem="0" numFmtId="41"/>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zoomScale="82" workbookViewId="0">
      <selection activeCell="Q1" sqref="Q1"/>
    </sheetView>
  </sheetViews>
  <sheetFormatPr defaultColWidth="9" defaultRowHeight="12" x14ac:dyDescent="0.2"/>
  <sheetData>
    <row r="1" spans="1:1" ht="18.75" x14ac:dyDescent="0.3">
      <c r="A1" s="32" t="s">
        <v>27</v>
      </c>
    </row>
  </sheetData>
  <sheetProtection algorithmName="SHA-512" hashValue="9b0kGQSVuoUuEV+fMHliIsZ0tOFgGfZWKTw0QtQ06jb9lENnP51y6oOpcWp/fFTa1LIZpAJtdNtKy1Q5VeyVvQ==" saltValue="A5NvWW7jkhLGnOLMJ/0LXQ==" spinCount="100000" sheet="1" objects="1" scenarios="1" formatColumns="0"/>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Z84"/>
  <sheetViews>
    <sheetView tabSelected="1" workbookViewId="0">
      <pane ySplit="4" topLeftCell="A5" activePane="bottomLeft" state="frozen"/>
      <selection pane="bottomLeft" activeCell="G23" sqref="G23"/>
    </sheetView>
  </sheetViews>
  <sheetFormatPr defaultColWidth="9" defaultRowHeight="12" x14ac:dyDescent="0.2"/>
  <cols>
    <col min="2" max="2" width="26.5" bestFit="1" customWidth="1"/>
    <col min="3" max="3" width="15.83203125" bestFit="1" customWidth="1"/>
    <col min="4" max="4" width="17.6640625" bestFit="1" customWidth="1"/>
    <col min="5" max="5" width="10.83203125" bestFit="1" customWidth="1"/>
    <col min="10" max="10" width="28.5" bestFit="1" customWidth="1"/>
    <col min="11" max="11" width="28.33203125" bestFit="1" customWidth="1"/>
    <col min="12" max="12" width="25" bestFit="1" customWidth="1"/>
    <col min="13" max="13" width="26.6640625" bestFit="1" customWidth="1"/>
    <col min="14" max="14" width="24.5" customWidth="1"/>
    <col min="15" max="15" width="3.1640625" customWidth="1"/>
    <col min="16" max="16" width="3.5" customWidth="1"/>
    <col min="17" max="17" width="5.6640625" customWidth="1"/>
    <col min="18" max="18" width="45.83203125" bestFit="1" customWidth="1"/>
    <col min="19" max="19" width="15.6640625" bestFit="1" customWidth="1"/>
    <col min="20" max="20" width="10.83203125" bestFit="1" customWidth="1"/>
    <col min="21" max="21" width="6.6640625" customWidth="1"/>
    <col min="22" max="22" width="5.6640625" customWidth="1"/>
    <col min="23" max="23" width="6" customWidth="1"/>
    <col min="24" max="24" width="45.83203125" bestFit="1" customWidth="1"/>
    <col min="25" max="25" width="15.6640625" bestFit="1" customWidth="1"/>
    <col min="26" max="26" width="10.83203125" bestFit="1" customWidth="1"/>
    <col min="27" max="27" width="14.1640625" bestFit="1" customWidth="1"/>
  </cols>
  <sheetData>
    <row r="3" spans="2:26" x14ac:dyDescent="0.2">
      <c r="B3" s="5" t="s">
        <v>18</v>
      </c>
      <c r="C3" s="5" t="s">
        <v>21</v>
      </c>
      <c r="R3" s="5" t="s">
        <v>43</v>
      </c>
      <c r="S3" s="5" t="s">
        <v>21</v>
      </c>
      <c r="X3" s="5" t="s">
        <v>44</v>
      </c>
      <c r="Y3" s="5" t="s">
        <v>21</v>
      </c>
    </row>
    <row r="4" spans="2:26" x14ac:dyDescent="0.2">
      <c r="B4" s="5" t="s">
        <v>16</v>
      </c>
      <c r="C4" t="s">
        <v>45</v>
      </c>
      <c r="D4" t="s">
        <v>46</v>
      </c>
      <c r="E4" t="s">
        <v>17</v>
      </c>
      <c r="K4" s="5" t="s">
        <v>144</v>
      </c>
      <c r="R4" s="5" t="s">
        <v>16</v>
      </c>
      <c r="S4" t="s">
        <v>31</v>
      </c>
      <c r="T4" t="s">
        <v>17</v>
      </c>
      <c r="X4" s="5" t="s">
        <v>16</v>
      </c>
      <c r="Y4" t="s">
        <v>31</v>
      </c>
      <c r="Z4" t="s">
        <v>17</v>
      </c>
    </row>
    <row r="5" spans="2:26" x14ac:dyDescent="0.2">
      <c r="B5" s="6" t="s">
        <v>130</v>
      </c>
      <c r="C5" s="7">
        <v>0</v>
      </c>
      <c r="D5" s="7">
        <v>0</v>
      </c>
      <c r="E5" s="7">
        <v>0</v>
      </c>
      <c r="J5" s="5" t="s">
        <v>16</v>
      </c>
      <c r="K5" t="s">
        <v>128</v>
      </c>
      <c r="L5" t="s">
        <v>163</v>
      </c>
      <c r="M5" t="s">
        <v>164</v>
      </c>
      <c r="N5" t="s">
        <v>127</v>
      </c>
      <c r="R5" s="6" t="s">
        <v>24</v>
      </c>
      <c r="S5" s="7">
        <v>0</v>
      </c>
      <c r="T5" s="7">
        <v>0</v>
      </c>
      <c r="X5" s="6" t="s">
        <v>24</v>
      </c>
      <c r="Y5" s="7">
        <v>0</v>
      </c>
      <c r="Z5" s="7">
        <v>0</v>
      </c>
    </row>
    <row r="6" spans="2:26" x14ac:dyDescent="0.2">
      <c r="B6" s="6" t="s">
        <v>131</v>
      </c>
      <c r="C6" s="7">
        <v>0</v>
      </c>
      <c r="D6" s="7">
        <v>0</v>
      </c>
      <c r="E6" s="7">
        <v>0</v>
      </c>
      <c r="J6" s="6" t="s">
        <v>130</v>
      </c>
      <c r="K6" s="7">
        <v>0</v>
      </c>
      <c r="L6" s="7">
        <v>0</v>
      </c>
      <c r="M6" s="7">
        <v>0</v>
      </c>
      <c r="N6" s="7">
        <v>0</v>
      </c>
      <c r="R6" s="6" t="s">
        <v>25</v>
      </c>
      <c r="S6" s="7">
        <v>0</v>
      </c>
      <c r="T6" s="7">
        <v>0</v>
      </c>
      <c r="X6" s="6" t="s">
        <v>25</v>
      </c>
      <c r="Y6" s="7">
        <v>0</v>
      </c>
      <c r="Z6" s="7">
        <v>0</v>
      </c>
    </row>
    <row r="7" spans="2:26" x14ac:dyDescent="0.2">
      <c r="B7" s="6" t="s">
        <v>132</v>
      </c>
      <c r="C7" s="7">
        <v>0</v>
      </c>
      <c r="D7" s="7">
        <v>0</v>
      </c>
      <c r="E7" s="7">
        <v>0</v>
      </c>
      <c r="J7" s="6" t="s">
        <v>131</v>
      </c>
      <c r="K7" s="7">
        <v>0</v>
      </c>
      <c r="L7" s="7">
        <v>0</v>
      </c>
      <c r="M7" s="7">
        <v>0</v>
      </c>
      <c r="N7" s="7">
        <v>0</v>
      </c>
      <c r="R7" s="6" t="s">
        <v>37</v>
      </c>
      <c r="S7" s="7">
        <v>0</v>
      </c>
      <c r="T7" s="7">
        <v>0</v>
      </c>
      <c r="X7" s="6" t="s">
        <v>37</v>
      </c>
      <c r="Y7" s="7">
        <v>0</v>
      </c>
      <c r="Z7" s="7">
        <v>0</v>
      </c>
    </row>
    <row r="8" spans="2:26" x14ac:dyDescent="0.2">
      <c r="B8" s="6" t="s">
        <v>133</v>
      </c>
      <c r="C8" s="7">
        <v>0</v>
      </c>
      <c r="D8" s="7">
        <v>0</v>
      </c>
      <c r="E8" s="7">
        <v>0</v>
      </c>
      <c r="J8" s="6" t="s">
        <v>132</v>
      </c>
      <c r="K8" s="7">
        <v>0</v>
      </c>
      <c r="L8" s="7">
        <v>0</v>
      </c>
      <c r="M8" s="7">
        <v>0</v>
      </c>
      <c r="N8" s="7">
        <v>0</v>
      </c>
      <c r="R8" s="6" t="s">
        <v>38</v>
      </c>
      <c r="S8" s="7">
        <v>0</v>
      </c>
      <c r="T8" s="7">
        <v>0</v>
      </c>
      <c r="X8" s="6" t="s">
        <v>38</v>
      </c>
      <c r="Y8" s="7">
        <v>0</v>
      </c>
      <c r="Z8" s="7">
        <v>0</v>
      </c>
    </row>
    <row r="9" spans="2:26" x14ac:dyDescent="0.2">
      <c r="B9" s="6" t="s">
        <v>134</v>
      </c>
      <c r="C9" s="7">
        <v>0</v>
      </c>
      <c r="D9" s="7">
        <v>0</v>
      </c>
      <c r="E9" s="7">
        <v>0</v>
      </c>
      <c r="J9" s="6" t="s">
        <v>133</v>
      </c>
      <c r="K9" s="7">
        <v>0</v>
      </c>
      <c r="L9" s="7">
        <v>0</v>
      </c>
      <c r="M9" s="7">
        <v>0</v>
      </c>
      <c r="N9" s="7">
        <v>0</v>
      </c>
      <c r="R9" s="6" t="s">
        <v>39</v>
      </c>
      <c r="S9" s="7">
        <v>0</v>
      </c>
      <c r="T9" s="7">
        <v>0</v>
      </c>
      <c r="X9" s="6" t="s">
        <v>39</v>
      </c>
      <c r="Y9" s="7">
        <v>0</v>
      </c>
      <c r="Z9" s="7">
        <v>0</v>
      </c>
    </row>
    <row r="10" spans="2:26" x14ac:dyDescent="0.2">
      <c r="B10" s="6" t="s">
        <v>135</v>
      </c>
      <c r="C10" s="7">
        <v>0</v>
      </c>
      <c r="D10" s="7">
        <v>0</v>
      </c>
      <c r="E10" s="7">
        <v>0</v>
      </c>
      <c r="J10" s="6" t="s">
        <v>134</v>
      </c>
      <c r="K10" s="7">
        <v>0</v>
      </c>
      <c r="L10" s="7">
        <v>0</v>
      </c>
      <c r="M10" s="7">
        <v>0</v>
      </c>
      <c r="N10" s="7">
        <v>0</v>
      </c>
      <c r="R10" s="6" t="s">
        <v>40</v>
      </c>
      <c r="S10" s="7">
        <v>0</v>
      </c>
      <c r="T10" s="7">
        <v>0</v>
      </c>
      <c r="X10" s="6" t="s">
        <v>40</v>
      </c>
      <c r="Y10" s="7">
        <v>0</v>
      </c>
      <c r="Z10" s="7">
        <v>0</v>
      </c>
    </row>
    <row r="11" spans="2:26" x14ac:dyDescent="0.2">
      <c r="B11" s="6" t="s">
        <v>136</v>
      </c>
      <c r="C11" s="7">
        <v>0</v>
      </c>
      <c r="D11" s="7">
        <v>0</v>
      </c>
      <c r="E11" s="7">
        <v>0</v>
      </c>
      <c r="J11" s="6" t="s">
        <v>135</v>
      </c>
      <c r="K11" s="7">
        <v>0</v>
      </c>
      <c r="L11" s="7">
        <v>0</v>
      </c>
      <c r="M11" s="7">
        <v>0</v>
      </c>
      <c r="N11" s="7">
        <v>0</v>
      </c>
      <c r="R11" s="6" t="s">
        <v>41</v>
      </c>
      <c r="S11" s="7">
        <v>0</v>
      </c>
      <c r="T11" s="7">
        <v>0</v>
      </c>
      <c r="X11" s="6" t="s">
        <v>41</v>
      </c>
      <c r="Y11" s="7">
        <v>0</v>
      </c>
      <c r="Z11" s="7">
        <v>0</v>
      </c>
    </row>
    <row r="12" spans="2:26" x14ac:dyDescent="0.2">
      <c r="B12" s="6" t="s">
        <v>137</v>
      </c>
      <c r="C12" s="7">
        <v>0</v>
      </c>
      <c r="D12" s="7">
        <v>0</v>
      </c>
      <c r="E12" s="7">
        <v>0</v>
      </c>
      <c r="J12" s="6" t="s">
        <v>136</v>
      </c>
      <c r="K12" s="7">
        <v>0</v>
      </c>
      <c r="L12" s="7">
        <v>0</v>
      </c>
      <c r="M12" s="7">
        <v>0</v>
      </c>
      <c r="N12" s="7">
        <v>0</v>
      </c>
      <c r="R12" s="6" t="s">
        <v>42</v>
      </c>
      <c r="S12" s="7">
        <v>0</v>
      </c>
      <c r="T12" s="7">
        <v>0</v>
      </c>
      <c r="X12" s="6" t="s">
        <v>42</v>
      </c>
      <c r="Y12" s="7">
        <v>0</v>
      </c>
      <c r="Z12" s="7">
        <v>0</v>
      </c>
    </row>
    <row r="13" spans="2:26" x14ac:dyDescent="0.2">
      <c r="B13" s="6" t="s">
        <v>138</v>
      </c>
      <c r="C13" s="7">
        <v>0</v>
      </c>
      <c r="D13" s="7">
        <v>0</v>
      </c>
      <c r="E13" s="7">
        <v>0</v>
      </c>
      <c r="J13" s="6" t="s">
        <v>137</v>
      </c>
      <c r="K13" s="7">
        <v>0</v>
      </c>
      <c r="L13" s="7">
        <v>0</v>
      </c>
      <c r="M13" s="7">
        <v>0</v>
      </c>
      <c r="N13" s="7">
        <v>0</v>
      </c>
      <c r="R13" s="6" t="s">
        <v>56</v>
      </c>
      <c r="S13" s="7">
        <v>0</v>
      </c>
      <c r="T13" s="7">
        <v>0</v>
      </c>
      <c r="X13" s="6" t="s">
        <v>56</v>
      </c>
      <c r="Y13" s="7">
        <v>0</v>
      </c>
      <c r="Z13" s="7">
        <v>0</v>
      </c>
    </row>
    <row r="14" spans="2:26" x14ac:dyDescent="0.2">
      <c r="B14" s="6" t="s">
        <v>139</v>
      </c>
      <c r="C14" s="7">
        <v>0</v>
      </c>
      <c r="D14" s="7">
        <v>0</v>
      </c>
      <c r="E14" s="7">
        <v>0</v>
      </c>
      <c r="J14" s="6" t="s">
        <v>138</v>
      </c>
      <c r="K14" s="7">
        <v>0</v>
      </c>
      <c r="L14" s="7">
        <v>0</v>
      </c>
      <c r="M14" s="7">
        <v>0</v>
      </c>
      <c r="N14" s="7">
        <v>0</v>
      </c>
      <c r="R14" s="6" t="s">
        <v>57</v>
      </c>
      <c r="S14" s="7">
        <v>0</v>
      </c>
      <c r="T14" s="7">
        <v>0</v>
      </c>
      <c r="X14" s="6" t="s">
        <v>57</v>
      </c>
      <c r="Y14" s="7">
        <v>0</v>
      </c>
      <c r="Z14" s="7">
        <v>0</v>
      </c>
    </row>
    <row r="15" spans="2:26" x14ac:dyDescent="0.2">
      <c r="B15" s="6" t="s">
        <v>140</v>
      </c>
      <c r="C15" s="7">
        <v>0</v>
      </c>
      <c r="D15" s="7">
        <v>0</v>
      </c>
      <c r="E15" s="7">
        <v>0</v>
      </c>
      <c r="J15" s="6" t="s">
        <v>139</v>
      </c>
      <c r="K15" s="7">
        <v>0</v>
      </c>
      <c r="L15" s="7">
        <v>0</v>
      </c>
      <c r="M15" s="7">
        <v>0</v>
      </c>
      <c r="N15" s="7">
        <v>0</v>
      </c>
      <c r="R15" s="6" t="s">
        <v>58</v>
      </c>
      <c r="S15" s="7">
        <v>0</v>
      </c>
      <c r="T15" s="7">
        <v>0</v>
      </c>
      <c r="X15" s="6" t="s">
        <v>58</v>
      </c>
      <c r="Y15" s="7">
        <v>0</v>
      </c>
      <c r="Z15" s="7">
        <v>0</v>
      </c>
    </row>
    <row r="16" spans="2:26" x14ac:dyDescent="0.2">
      <c r="B16" s="6" t="s">
        <v>141</v>
      </c>
      <c r="C16" s="7">
        <v>0</v>
      </c>
      <c r="D16" s="7">
        <v>0</v>
      </c>
      <c r="E16" s="7">
        <v>0</v>
      </c>
      <c r="J16" s="6" t="s">
        <v>140</v>
      </c>
      <c r="K16" s="7">
        <v>0</v>
      </c>
      <c r="L16" s="7">
        <v>0</v>
      </c>
      <c r="M16" s="7">
        <v>0</v>
      </c>
      <c r="N16" s="7">
        <v>0</v>
      </c>
      <c r="R16" s="6" t="s">
        <v>59</v>
      </c>
      <c r="S16" s="7">
        <v>0</v>
      </c>
      <c r="T16" s="7">
        <v>0</v>
      </c>
      <c r="X16" s="6" t="s">
        <v>59</v>
      </c>
      <c r="Y16" s="7">
        <v>0</v>
      </c>
      <c r="Z16" s="7">
        <v>0</v>
      </c>
    </row>
    <row r="17" spans="2:26" x14ac:dyDescent="0.2">
      <c r="B17" s="6" t="s">
        <v>142</v>
      </c>
      <c r="C17" s="7">
        <v>0</v>
      </c>
      <c r="D17" s="7">
        <v>0</v>
      </c>
      <c r="E17" s="7">
        <v>0</v>
      </c>
      <c r="J17" s="6" t="s">
        <v>141</v>
      </c>
      <c r="K17" s="7">
        <v>0</v>
      </c>
      <c r="L17" s="7">
        <v>0</v>
      </c>
      <c r="M17" s="7">
        <v>0</v>
      </c>
      <c r="N17" s="7">
        <v>0</v>
      </c>
      <c r="R17" s="6" t="s">
        <v>60</v>
      </c>
      <c r="S17" s="7">
        <v>0</v>
      </c>
      <c r="T17" s="7">
        <v>0</v>
      </c>
      <c r="X17" s="6" t="s">
        <v>60</v>
      </c>
      <c r="Y17" s="7">
        <v>0</v>
      </c>
      <c r="Z17" s="7">
        <v>0</v>
      </c>
    </row>
    <row r="18" spans="2:26" x14ac:dyDescent="0.2">
      <c r="B18" s="6" t="s">
        <v>143</v>
      </c>
      <c r="C18" s="7">
        <v>0</v>
      </c>
      <c r="D18" s="7">
        <v>0</v>
      </c>
      <c r="E18" s="7">
        <v>0</v>
      </c>
      <c r="J18" s="6" t="s">
        <v>142</v>
      </c>
      <c r="K18" s="7">
        <v>0</v>
      </c>
      <c r="L18" s="7">
        <v>0</v>
      </c>
      <c r="M18" s="7">
        <v>0</v>
      </c>
      <c r="N18" s="7">
        <v>0</v>
      </c>
      <c r="R18" s="6" t="s">
        <v>61</v>
      </c>
      <c r="S18" s="7">
        <v>0</v>
      </c>
      <c r="T18" s="7">
        <v>0</v>
      </c>
      <c r="X18" s="6" t="s">
        <v>61</v>
      </c>
      <c r="Y18" s="7">
        <v>0</v>
      </c>
      <c r="Z18" s="7">
        <v>0</v>
      </c>
    </row>
    <row r="19" spans="2:26" x14ac:dyDescent="0.2">
      <c r="B19" s="6" t="s">
        <v>17</v>
      </c>
      <c r="C19" s="7">
        <v>0</v>
      </c>
      <c r="D19" s="7">
        <v>0</v>
      </c>
      <c r="E19" s="7">
        <v>0</v>
      </c>
      <c r="J19" s="6" t="s">
        <v>143</v>
      </c>
      <c r="K19" s="7">
        <v>0</v>
      </c>
      <c r="L19" s="7">
        <v>0</v>
      </c>
      <c r="M19" s="7">
        <v>0</v>
      </c>
      <c r="N19" s="7">
        <v>0</v>
      </c>
      <c r="R19" s="6" t="s">
        <v>62</v>
      </c>
      <c r="S19" s="7">
        <v>0</v>
      </c>
      <c r="T19" s="7">
        <v>0</v>
      </c>
      <c r="X19" s="6" t="s">
        <v>62</v>
      </c>
      <c r="Y19" s="7">
        <v>0</v>
      </c>
      <c r="Z19" s="7">
        <v>0</v>
      </c>
    </row>
    <row r="20" spans="2:26" x14ac:dyDescent="0.2">
      <c r="J20" s="6" t="s">
        <v>17</v>
      </c>
      <c r="K20" s="7">
        <v>0</v>
      </c>
      <c r="L20" s="7">
        <v>0</v>
      </c>
      <c r="M20" s="7">
        <v>0</v>
      </c>
      <c r="N20" s="7">
        <v>0</v>
      </c>
      <c r="R20" s="6" t="s">
        <v>63</v>
      </c>
      <c r="S20" s="7">
        <v>0</v>
      </c>
      <c r="T20" s="7">
        <v>0</v>
      </c>
      <c r="X20" s="6" t="s">
        <v>63</v>
      </c>
      <c r="Y20" s="7">
        <v>0</v>
      </c>
      <c r="Z20" s="7">
        <v>0</v>
      </c>
    </row>
    <row r="21" spans="2:26" x14ac:dyDescent="0.2">
      <c r="R21" s="6" t="s">
        <v>64</v>
      </c>
      <c r="S21" s="7">
        <v>0</v>
      </c>
      <c r="T21" s="7">
        <v>0</v>
      </c>
      <c r="X21" s="6" t="s">
        <v>64</v>
      </c>
      <c r="Y21" s="7">
        <v>0</v>
      </c>
      <c r="Z21" s="7">
        <v>0</v>
      </c>
    </row>
    <row r="22" spans="2:26" x14ac:dyDescent="0.2">
      <c r="R22" s="6" t="s">
        <v>65</v>
      </c>
      <c r="S22" s="7">
        <v>0</v>
      </c>
      <c r="T22" s="7">
        <v>0</v>
      </c>
      <c r="X22" s="6" t="s">
        <v>65</v>
      </c>
      <c r="Y22" s="7">
        <v>0</v>
      </c>
      <c r="Z22" s="7">
        <v>0</v>
      </c>
    </row>
    <row r="23" spans="2:26" x14ac:dyDescent="0.2">
      <c r="R23" s="6" t="s">
        <v>66</v>
      </c>
      <c r="S23" s="7">
        <v>0</v>
      </c>
      <c r="T23" s="7">
        <v>0</v>
      </c>
      <c r="X23" s="6" t="s">
        <v>66</v>
      </c>
      <c r="Y23" s="7">
        <v>0</v>
      </c>
      <c r="Z23" s="7">
        <v>0</v>
      </c>
    </row>
    <row r="24" spans="2:26" x14ac:dyDescent="0.2">
      <c r="R24" s="6" t="s">
        <v>67</v>
      </c>
      <c r="S24" s="7">
        <v>0</v>
      </c>
      <c r="T24" s="7">
        <v>0</v>
      </c>
      <c r="X24" s="6" t="s">
        <v>67</v>
      </c>
      <c r="Y24" s="7">
        <v>0</v>
      </c>
      <c r="Z24" s="7">
        <v>0</v>
      </c>
    </row>
    <row r="25" spans="2:26" x14ac:dyDescent="0.2">
      <c r="R25" s="6" t="s">
        <v>68</v>
      </c>
      <c r="S25" s="7">
        <v>0</v>
      </c>
      <c r="T25" s="7">
        <v>0</v>
      </c>
      <c r="X25" s="6" t="s">
        <v>68</v>
      </c>
      <c r="Y25" s="7">
        <v>0</v>
      </c>
      <c r="Z25" s="7">
        <v>0</v>
      </c>
    </row>
    <row r="26" spans="2:26" x14ac:dyDescent="0.2">
      <c r="R26" s="6" t="s">
        <v>69</v>
      </c>
      <c r="S26" s="7">
        <v>0</v>
      </c>
      <c r="T26" s="7">
        <v>0</v>
      </c>
      <c r="X26" s="6" t="s">
        <v>69</v>
      </c>
      <c r="Y26" s="7">
        <v>0</v>
      </c>
      <c r="Z26" s="7">
        <v>0</v>
      </c>
    </row>
    <row r="27" spans="2:26" x14ac:dyDescent="0.2">
      <c r="R27" s="6" t="s">
        <v>70</v>
      </c>
      <c r="S27" s="7">
        <v>0</v>
      </c>
      <c r="T27" s="7">
        <v>0</v>
      </c>
      <c r="X27" s="6" t="s">
        <v>70</v>
      </c>
      <c r="Y27" s="7">
        <v>0</v>
      </c>
      <c r="Z27" s="7">
        <v>0</v>
      </c>
    </row>
    <row r="28" spans="2:26" x14ac:dyDescent="0.2">
      <c r="R28" s="6" t="s">
        <v>71</v>
      </c>
      <c r="S28" s="7">
        <v>0</v>
      </c>
      <c r="T28" s="7">
        <v>0</v>
      </c>
      <c r="X28" s="6" t="s">
        <v>71</v>
      </c>
      <c r="Y28" s="7">
        <v>0</v>
      </c>
      <c r="Z28" s="7">
        <v>0</v>
      </c>
    </row>
    <row r="29" spans="2:26" x14ac:dyDescent="0.2">
      <c r="R29" s="6" t="s">
        <v>72</v>
      </c>
      <c r="S29" s="7">
        <v>0</v>
      </c>
      <c r="T29" s="7">
        <v>0</v>
      </c>
      <c r="X29" s="6" t="s">
        <v>72</v>
      </c>
      <c r="Y29" s="7">
        <v>0</v>
      </c>
      <c r="Z29" s="7">
        <v>0</v>
      </c>
    </row>
    <row r="30" spans="2:26" x14ac:dyDescent="0.2">
      <c r="R30" s="6" t="s">
        <v>73</v>
      </c>
      <c r="S30" s="7">
        <v>0</v>
      </c>
      <c r="T30" s="7">
        <v>0</v>
      </c>
      <c r="X30" s="6" t="s">
        <v>73</v>
      </c>
      <c r="Y30" s="7">
        <v>0</v>
      </c>
      <c r="Z30" s="7">
        <v>0</v>
      </c>
    </row>
    <row r="31" spans="2:26" x14ac:dyDescent="0.2">
      <c r="R31" s="6" t="s">
        <v>74</v>
      </c>
      <c r="S31" s="7">
        <v>0</v>
      </c>
      <c r="T31" s="7">
        <v>0</v>
      </c>
      <c r="X31" s="6" t="s">
        <v>74</v>
      </c>
      <c r="Y31" s="7">
        <v>0</v>
      </c>
      <c r="Z31" s="7">
        <v>0</v>
      </c>
    </row>
    <row r="32" spans="2:26" x14ac:dyDescent="0.2">
      <c r="R32" s="6" t="s">
        <v>75</v>
      </c>
      <c r="S32" s="7">
        <v>0</v>
      </c>
      <c r="T32" s="7">
        <v>0</v>
      </c>
      <c r="X32" s="6" t="s">
        <v>75</v>
      </c>
      <c r="Y32" s="7">
        <v>0</v>
      </c>
      <c r="Z32" s="7">
        <v>0</v>
      </c>
    </row>
    <row r="33" spans="18:26" x14ac:dyDescent="0.2">
      <c r="R33" s="6" t="s">
        <v>76</v>
      </c>
      <c r="S33" s="7">
        <v>0</v>
      </c>
      <c r="T33" s="7">
        <v>0</v>
      </c>
      <c r="X33" s="6" t="s">
        <v>76</v>
      </c>
      <c r="Y33" s="7">
        <v>0</v>
      </c>
      <c r="Z33" s="7">
        <v>0</v>
      </c>
    </row>
    <row r="34" spans="18:26" x14ac:dyDescent="0.2">
      <c r="R34" s="6" t="s">
        <v>77</v>
      </c>
      <c r="S34" s="7">
        <v>0</v>
      </c>
      <c r="T34" s="7">
        <v>0</v>
      </c>
      <c r="X34" s="6" t="s">
        <v>77</v>
      </c>
      <c r="Y34" s="7">
        <v>0</v>
      </c>
      <c r="Z34" s="7">
        <v>0</v>
      </c>
    </row>
    <row r="35" spans="18:26" x14ac:dyDescent="0.2">
      <c r="R35" s="6" t="s">
        <v>78</v>
      </c>
      <c r="S35" s="7">
        <v>0</v>
      </c>
      <c r="T35" s="7">
        <v>0</v>
      </c>
      <c r="X35" s="6" t="s">
        <v>78</v>
      </c>
      <c r="Y35" s="7">
        <v>0</v>
      </c>
      <c r="Z35" s="7">
        <v>0</v>
      </c>
    </row>
    <row r="36" spans="18:26" x14ac:dyDescent="0.2">
      <c r="R36" s="6" t="s">
        <v>79</v>
      </c>
      <c r="S36" s="7">
        <v>0</v>
      </c>
      <c r="T36" s="7">
        <v>0</v>
      </c>
      <c r="X36" s="6" t="s">
        <v>79</v>
      </c>
      <c r="Y36" s="7">
        <v>0</v>
      </c>
      <c r="Z36" s="7">
        <v>0</v>
      </c>
    </row>
    <row r="37" spans="18:26" x14ac:dyDescent="0.2">
      <c r="R37" s="6" t="s">
        <v>80</v>
      </c>
      <c r="S37" s="7">
        <v>0</v>
      </c>
      <c r="T37" s="7">
        <v>0</v>
      </c>
      <c r="X37" s="6" t="s">
        <v>80</v>
      </c>
      <c r="Y37" s="7">
        <v>0</v>
      </c>
      <c r="Z37" s="7">
        <v>0</v>
      </c>
    </row>
    <row r="38" spans="18:26" x14ac:dyDescent="0.2">
      <c r="R38" s="6" t="s">
        <v>81</v>
      </c>
      <c r="S38" s="7">
        <v>0</v>
      </c>
      <c r="T38" s="7">
        <v>0</v>
      </c>
      <c r="X38" s="6" t="s">
        <v>81</v>
      </c>
      <c r="Y38" s="7">
        <v>0</v>
      </c>
      <c r="Z38" s="7">
        <v>0</v>
      </c>
    </row>
    <row r="39" spans="18:26" x14ac:dyDescent="0.2">
      <c r="R39" s="6" t="s">
        <v>82</v>
      </c>
      <c r="S39" s="7">
        <v>0</v>
      </c>
      <c r="T39" s="7">
        <v>0</v>
      </c>
      <c r="X39" s="6" t="s">
        <v>82</v>
      </c>
      <c r="Y39" s="7">
        <v>0</v>
      </c>
      <c r="Z39" s="7">
        <v>0</v>
      </c>
    </row>
    <row r="40" spans="18:26" x14ac:dyDescent="0.2">
      <c r="R40" s="6" t="s">
        <v>83</v>
      </c>
      <c r="S40" s="7">
        <v>0</v>
      </c>
      <c r="T40" s="7">
        <v>0</v>
      </c>
      <c r="X40" s="6" t="s">
        <v>83</v>
      </c>
      <c r="Y40" s="7">
        <v>0</v>
      </c>
      <c r="Z40" s="7">
        <v>0</v>
      </c>
    </row>
    <row r="41" spans="18:26" x14ac:dyDescent="0.2">
      <c r="R41" s="6" t="s">
        <v>84</v>
      </c>
      <c r="S41" s="7">
        <v>0</v>
      </c>
      <c r="T41" s="7">
        <v>0</v>
      </c>
      <c r="X41" s="6" t="s">
        <v>84</v>
      </c>
      <c r="Y41" s="7">
        <v>0</v>
      </c>
      <c r="Z41" s="7">
        <v>0</v>
      </c>
    </row>
    <row r="42" spans="18:26" x14ac:dyDescent="0.2">
      <c r="R42" s="6" t="s">
        <v>85</v>
      </c>
      <c r="S42" s="7">
        <v>0</v>
      </c>
      <c r="T42" s="7">
        <v>0</v>
      </c>
      <c r="X42" s="6" t="s">
        <v>85</v>
      </c>
      <c r="Y42" s="7">
        <v>0</v>
      </c>
      <c r="Z42" s="7">
        <v>0</v>
      </c>
    </row>
    <row r="43" spans="18:26" x14ac:dyDescent="0.2">
      <c r="R43" s="6" t="s">
        <v>86</v>
      </c>
      <c r="S43" s="7">
        <v>0</v>
      </c>
      <c r="T43" s="7">
        <v>0</v>
      </c>
      <c r="X43" s="6" t="s">
        <v>86</v>
      </c>
      <c r="Y43" s="7">
        <v>0</v>
      </c>
      <c r="Z43" s="7">
        <v>0</v>
      </c>
    </row>
    <row r="44" spans="18:26" x14ac:dyDescent="0.2">
      <c r="R44" s="6" t="s">
        <v>87</v>
      </c>
      <c r="S44" s="7">
        <v>0</v>
      </c>
      <c r="T44" s="7">
        <v>0</v>
      </c>
      <c r="X44" s="6" t="s">
        <v>87</v>
      </c>
      <c r="Y44" s="7">
        <v>0</v>
      </c>
      <c r="Z44" s="7">
        <v>0</v>
      </c>
    </row>
    <row r="45" spans="18:26" x14ac:dyDescent="0.2">
      <c r="R45" s="6" t="s">
        <v>88</v>
      </c>
      <c r="S45" s="7">
        <v>0</v>
      </c>
      <c r="T45" s="7">
        <v>0</v>
      </c>
      <c r="X45" s="6" t="s">
        <v>88</v>
      </c>
      <c r="Y45" s="7">
        <v>0</v>
      </c>
      <c r="Z45" s="7">
        <v>0</v>
      </c>
    </row>
    <row r="46" spans="18:26" x14ac:dyDescent="0.2">
      <c r="R46" s="6" t="s">
        <v>89</v>
      </c>
      <c r="S46" s="7">
        <v>0</v>
      </c>
      <c r="T46" s="7">
        <v>0</v>
      </c>
      <c r="X46" s="6" t="s">
        <v>89</v>
      </c>
      <c r="Y46" s="7">
        <v>0</v>
      </c>
      <c r="Z46" s="7">
        <v>0</v>
      </c>
    </row>
    <row r="47" spans="18:26" x14ac:dyDescent="0.2">
      <c r="R47" s="6" t="s">
        <v>90</v>
      </c>
      <c r="S47" s="7">
        <v>0</v>
      </c>
      <c r="T47" s="7">
        <v>0</v>
      </c>
      <c r="X47" s="6" t="s">
        <v>90</v>
      </c>
      <c r="Y47" s="7">
        <v>0</v>
      </c>
      <c r="Z47" s="7">
        <v>0</v>
      </c>
    </row>
    <row r="48" spans="18:26" x14ac:dyDescent="0.2">
      <c r="R48" s="6" t="s">
        <v>91</v>
      </c>
      <c r="S48" s="7">
        <v>0</v>
      </c>
      <c r="T48" s="7">
        <v>0</v>
      </c>
      <c r="X48" s="6" t="s">
        <v>91</v>
      </c>
      <c r="Y48" s="7">
        <v>0</v>
      </c>
      <c r="Z48" s="7">
        <v>0</v>
      </c>
    </row>
    <row r="49" spans="18:26" x14ac:dyDescent="0.2">
      <c r="R49" s="6" t="s">
        <v>92</v>
      </c>
      <c r="S49" s="7">
        <v>0</v>
      </c>
      <c r="T49" s="7">
        <v>0</v>
      </c>
      <c r="X49" s="6" t="s">
        <v>92</v>
      </c>
      <c r="Y49" s="7">
        <v>0</v>
      </c>
      <c r="Z49" s="7">
        <v>0</v>
      </c>
    </row>
    <row r="50" spans="18:26" x14ac:dyDescent="0.2">
      <c r="R50" s="6" t="s">
        <v>93</v>
      </c>
      <c r="S50" s="7">
        <v>0</v>
      </c>
      <c r="T50" s="7">
        <v>0</v>
      </c>
      <c r="X50" s="6" t="s">
        <v>93</v>
      </c>
      <c r="Y50" s="7">
        <v>0</v>
      </c>
      <c r="Z50" s="7">
        <v>0</v>
      </c>
    </row>
    <row r="51" spans="18:26" x14ac:dyDescent="0.2">
      <c r="R51" s="6" t="s">
        <v>94</v>
      </c>
      <c r="S51" s="7">
        <v>0</v>
      </c>
      <c r="T51" s="7">
        <v>0</v>
      </c>
      <c r="X51" s="6" t="s">
        <v>94</v>
      </c>
      <c r="Y51" s="7">
        <v>0</v>
      </c>
      <c r="Z51" s="7">
        <v>0</v>
      </c>
    </row>
    <row r="52" spans="18:26" x14ac:dyDescent="0.2">
      <c r="R52" s="6" t="s">
        <v>95</v>
      </c>
      <c r="S52" s="7">
        <v>0</v>
      </c>
      <c r="T52" s="7">
        <v>0</v>
      </c>
      <c r="X52" s="6" t="s">
        <v>95</v>
      </c>
      <c r="Y52" s="7">
        <v>0</v>
      </c>
      <c r="Z52" s="7">
        <v>0</v>
      </c>
    </row>
    <row r="53" spans="18:26" x14ac:dyDescent="0.2">
      <c r="R53" s="6" t="s">
        <v>96</v>
      </c>
      <c r="S53" s="7">
        <v>0</v>
      </c>
      <c r="T53" s="7">
        <v>0</v>
      </c>
      <c r="X53" s="6" t="s">
        <v>96</v>
      </c>
      <c r="Y53" s="7">
        <v>0</v>
      </c>
      <c r="Z53" s="7">
        <v>0</v>
      </c>
    </row>
    <row r="54" spans="18:26" x14ac:dyDescent="0.2">
      <c r="R54" s="6" t="s">
        <v>97</v>
      </c>
      <c r="S54" s="7">
        <v>0</v>
      </c>
      <c r="T54" s="7">
        <v>0</v>
      </c>
      <c r="X54" s="6" t="s">
        <v>97</v>
      </c>
      <c r="Y54" s="7">
        <v>0</v>
      </c>
      <c r="Z54" s="7">
        <v>0</v>
      </c>
    </row>
    <row r="55" spans="18:26" x14ac:dyDescent="0.2">
      <c r="R55" s="6" t="s">
        <v>98</v>
      </c>
      <c r="S55" s="7">
        <v>0</v>
      </c>
      <c r="T55" s="7">
        <v>0</v>
      </c>
      <c r="X55" s="6" t="s">
        <v>98</v>
      </c>
      <c r="Y55" s="7">
        <v>0</v>
      </c>
      <c r="Z55" s="7">
        <v>0</v>
      </c>
    </row>
    <row r="56" spans="18:26" x14ac:dyDescent="0.2">
      <c r="R56" s="6" t="s">
        <v>99</v>
      </c>
      <c r="S56" s="7">
        <v>0</v>
      </c>
      <c r="T56" s="7">
        <v>0</v>
      </c>
      <c r="X56" s="6" t="s">
        <v>99</v>
      </c>
      <c r="Y56" s="7">
        <v>0</v>
      </c>
      <c r="Z56" s="7">
        <v>0</v>
      </c>
    </row>
    <row r="57" spans="18:26" x14ac:dyDescent="0.2">
      <c r="R57" s="6" t="s">
        <v>100</v>
      </c>
      <c r="S57" s="7">
        <v>0</v>
      </c>
      <c r="T57" s="7">
        <v>0</v>
      </c>
      <c r="X57" s="6" t="s">
        <v>100</v>
      </c>
      <c r="Y57" s="7">
        <v>0</v>
      </c>
      <c r="Z57" s="7">
        <v>0</v>
      </c>
    </row>
    <row r="58" spans="18:26" x14ac:dyDescent="0.2">
      <c r="R58" s="6" t="s">
        <v>101</v>
      </c>
      <c r="S58" s="7">
        <v>0</v>
      </c>
      <c r="T58" s="7">
        <v>0</v>
      </c>
      <c r="X58" s="6" t="s">
        <v>101</v>
      </c>
      <c r="Y58" s="7">
        <v>0</v>
      </c>
      <c r="Z58" s="7">
        <v>0</v>
      </c>
    </row>
    <row r="59" spans="18:26" x14ac:dyDescent="0.2">
      <c r="R59" s="6" t="s">
        <v>102</v>
      </c>
      <c r="S59" s="7">
        <v>0</v>
      </c>
      <c r="T59" s="7">
        <v>0</v>
      </c>
      <c r="X59" s="6" t="s">
        <v>102</v>
      </c>
      <c r="Y59" s="7">
        <v>0</v>
      </c>
      <c r="Z59" s="7">
        <v>0</v>
      </c>
    </row>
    <row r="60" spans="18:26" x14ac:dyDescent="0.2">
      <c r="R60" s="6" t="s">
        <v>103</v>
      </c>
      <c r="S60" s="7">
        <v>0</v>
      </c>
      <c r="T60" s="7">
        <v>0</v>
      </c>
      <c r="X60" s="6" t="s">
        <v>103</v>
      </c>
      <c r="Y60" s="7">
        <v>0</v>
      </c>
      <c r="Z60" s="7">
        <v>0</v>
      </c>
    </row>
    <row r="61" spans="18:26" x14ac:dyDescent="0.2">
      <c r="R61" s="6" t="s">
        <v>104</v>
      </c>
      <c r="S61" s="7">
        <v>0</v>
      </c>
      <c r="T61" s="7">
        <v>0</v>
      </c>
      <c r="X61" s="6" t="s">
        <v>104</v>
      </c>
      <c r="Y61" s="7">
        <v>0</v>
      </c>
      <c r="Z61" s="7">
        <v>0</v>
      </c>
    </row>
    <row r="62" spans="18:26" x14ac:dyDescent="0.2">
      <c r="R62" s="6" t="s">
        <v>105</v>
      </c>
      <c r="S62" s="7">
        <v>0</v>
      </c>
      <c r="T62" s="7">
        <v>0</v>
      </c>
      <c r="X62" s="6" t="s">
        <v>105</v>
      </c>
      <c r="Y62" s="7">
        <v>0</v>
      </c>
      <c r="Z62" s="7">
        <v>0</v>
      </c>
    </row>
    <row r="63" spans="18:26" x14ac:dyDescent="0.2">
      <c r="R63" s="6" t="s">
        <v>106</v>
      </c>
      <c r="S63" s="7">
        <v>0</v>
      </c>
      <c r="T63" s="7">
        <v>0</v>
      </c>
      <c r="X63" s="6" t="s">
        <v>106</v>
      </c>
      <c r="Y63" s="7">
        <v>0</v>
      </c>
      <c r="Z63" s="7">
        <v>0</v>
      </c>
    </row>
    <row r="64" spans="18:26" x14ac:dyDescent="0.2">
      <c r="R64" s="6" t="s">
        <v>107</v>
      </c>
      <c r="S64" s="7">
        <v>0</v>
      </c>
      <c r="T64" s="7">
        <v>0</v>
      </c>
      <c r="X64" s="6" t="s">
        <v>107</v>
      </c>
      <c r="Y64" s="7">
        <v>0</v>
      </c>
      <c r="Z64" s="7">
        <v>0</v>
      </c>
    </row>
    <row r="65" spans="18:26" x14ac:dyDescent="0.2">
      <c r="R65" s="6" t="s">
        <v>108</v>
      </c>
      <c r="S65" s="7">
        <v>0</v>
      </c>
      <c r="T65" s="7">
        <v>0</v>
      </c>
      <c r="X65" s="6" t="s">
        <v>108</v>
      </c>
      <c r="Y65" s="7">
        <v>0</v>
      </c>
      <c r="Z65" s="7">
        <v>0</v>
      </c>
    </row>
    <row r="66" spans="18:26" x14ac:dyDescent="0.2">
      <c r="R66" s="6" t="s">
        <v>109</v>
      </c>
      <c r="S66" s="7">
        <v>0</v>
      </c>
      <c r="T66" s="7">
        <v>0</v>
      </c>
      <c r="X66" s="6" t="s">
        <v>109</v>
      </c>
      <c r="Y66" s="7">
        <v>0</v>
      </c>
      <c r="Z66" s="7">
        <v>0</v>
      </c>
    </row>
    <row r="67" spans="18:26" x14ac:dyDescent="0.2">
      <c r="R67" s="6" t="s">
        <v>110</v>
      </c>
      <c r="S67" s="7">
        <v>0</v>
      </c>
      <c r="T67" s="7">
        <v>0</v>
      </c>
      <c r="X67" s="6" t="s">
        <v>110</v>
      </c>
      <c r="Y67" s="7">
        <v>0</v>
      </c>
      <c r="Z67" s="7">
        <v>0</v>
      </c>
    </row>
    <row r="68" spans="18:26" x14ac:dyDescent="0.2">
      <c r="R68" s="6" t="s">
        <v>111</v>
      </c>
      <c r="S68" s="7">
        <v>0</v>
      </c>
      <c r="T68" s="7">
        <v>0</v>
      </c>
      <c r="X68" s="6" t="s">
        <v>111</v>
      </c>
      <c r="Y68" s="7">
        <v>0</v>
      </c>
      <c r="Z68" s="7">
        <v>0</v>
      </c>
    </row>
    <row r="69" spans="18:26" x14ac:dyDescent="0.2">
      <c r="R69" s="6" t="s">
        <v>112</v>
      </c>
      <c r="S69" s="7">
        <v>0</v>
      </c>
      <c r="T69" s="7">
        <v>0</v>
      </c>
      <c r="X69" s="6" t="s">
        <v>112</v>
      </c>
      <c r="Y69" s="7">
        <v>0</v>
      </c>
      <c r="Z69" s="7">
        <v>0</v>
      </c>
    </row>
    <row r="70" spans="18:26" x14ac:dyDescent="0.2">
      <c r="R70" s="6" t="s">
        <v>113</v>
      </c>
      <c r="S70" s="7">
        <v>0</v>
      </c>
      <c r="T70" s="7">
        <v>0</v>
      </c>
      <c r="X70" s="6" t="s">
        <v>113</v>
      </c>
      <c r="Y70" s="7">
        <v>0</v>
      </c>
      <c r="Z70" s="7">
        <v>0</v>
      </c>
    </row>
    <row r="71" spans="18:26" x14ac:dyDescent="0.2">
      <c r="R71" s="6" t="s">
        <v>114</v>
      </c>
      <c r="S71" s="7">
        <v>0</v>
      </c>
      <c r="T71" s="7">
        <v>0</v>
      </c>
      <c r="X71" s="6" t="s">
        <v>114</v>
      </c>
      <c r="Y71" s="7">
        <v>0</v>
      </c>
      <c r="Z71" s="7">
        <v>0</v>
      </c>
    </row>
    <row r="72" spans="18:26" x14ac:dyDescent="0.2">
      <c r="R72" s="6" t="s">
        <v>115</v>
      </c>
      <c r="S72" s="7">
        <v>0</v>
      </c>
      <c r="T72" s="7">
        <v>0</v>
      </c>
      <c r="X72" s="6" t="s">
        <v>115</v>
      </c>
      <c r="Y72" s="7">
        <v>0</v>
      </c>
      <c r="Z72" s="7">
        <v>0</v>
      </c>
    </row>
    <row r="73" spans="18:26" x14ac:dyDescent="0.2">
      <c r="R73" s="6" t="s">
        <v>116</v>
      </c>
      <c r="S73" s="7">
        <v>0</v>
      </c>
      <c r="T73" s="7">
        <v>0</v>
      </c>
      <c r="X73" s="6" t="s">
        <v>116</v>
      </c>
      <c r="Y73" s="7">
        <v>0</v>
      </c>
      <c r="Z73" s="7">
        <v>0</v>
      </c>
    </row>
    <row r="74" spans="18:26" x14ac:dyDescent="0.2">
      <c r="R74" s="6" t="s">
        <v>117</v>
      </c>
      <c r="S74" s="7">
        <v>0</v>
      </c>
      <c r="T74" s="7">
        <v>0</v>
      </c>
      <c r="X74" s="6" t="s">
        <v>117</v>
      </c>
      <c r="Y74" s="7">
        <v>0</v>
      </c>
      <c r="Z74" s="7">
        <v>0</v>
      </c>
    </row>
    <row r="75" spans="18:26" x14ac:dyDescent="0.2">
      <c r="R75" s="6" t="s">
        <v>118</v>
      </c>
      <c r="S75" s="7">
        <v>0</v>
      </c>
      <c r="T75" s="7">
        <v>0</v>
      </c>
      <c r="X75" s="6" t="s">
        <v>118</v>
      </c>
      <c r="Y75" s="7">
        <v>0</v>
      </c>
      <c r="Z75" s="7">
        <v>0</v>
      </c>
    </row>
    <row r="76" spans="18:26" x14ac:dyDescent="0.2">
      <c r="R76" s="6" t="s">
        <v>119</v>
      </c>
      <c r="S76" s="7">
        <v>0</v>
      </c>
      <c r="T76" s="7">
        <v>0</v>
      </c>
      <c r="X76" s="6" t="s">
        <v>119</v>
      </c>
      <c r="Y76" s="7">
        <v>0</v>
      </c>
      <c r="Z76" s="7">
        <v>0</v>
      </c>
    </row>
    <row r="77" spans="18:26" x14ac:dyDescent="0.2">
      <c r="R77" s="6" t="s">
        <v>120</v>
      </c>
      <c r="S77" s="7">
        <v>0</v>
      </c>
      <c r="T77" s="7">
        <v>0</v>
      </c>
      <c r="X77" s="6" t="s">
        <v>120</v>
      </c>
      <c r="Y77" s="7">
        <v>0</v>
      </c>
      <c r="Z77" s="7">
        <v>0</v>
      </c>
    </row>
    <row r="78" spans="18:26" x14ac:dyDescent="0.2">
      <c r="R78" s="6" t="s">
        <v>121</v>
      </c>
      <c r="S78" s="7">
        <v>0</v>
      </c>
      <c r="T78" s="7">
        <v>0</v>
      </c>
      <c r="X78" s="6" t="s">
        <v>121</v>
      </c>
      <c r="Y78" s="7">
        <v>0</v>
      </c>
      <c r="Z78" s="7">
        <v>0</v>
      </c>
    </row>
    <row r="79" spans="18:26" x14ac:dyDescent="0.2">
      <c r="R79" s="6" t="s">
        <v>122</v>
      </c>
      <c r="S79" s="7">
        <v>0</v>
      </c>
      <c r="T79" s="7">
        <v>0</v>
      </c>
      <c r="X79" s="6" t="s">
        <v>122</v>
      </c>
      <c r="Y79" s="7">
        <v>0</v>
      </c>
      <c r="Z79" s="7">
        <v>0</v>
      </c>
    </row>
    <row r="80" spans="18:26" x14ac:dyDescent="0.2">
      <c r="R80" s="6" t="s">
        <v>123</v>
      </c>
      <c r="S80" s="7">
        <v>0</v>
      </c>
      <c r="T80" s="7">
        <v>0</v>
      </c>
      <c r="X80" s="6" t="s">
        <v>123</v>
      </c>
      <c r="Y80" s="7">
        <v>0</v>
      </c>
      <c r="Z80" s="7">
        <v>0</v>
      </c>
    </row>
    <row r="81" spans="18:26" x14ac:dyDescent="0.2">
      <c r="R81" s="6" t="s">
        <v>124</v>
      </c>
      <c r="S81" s="7">
        <v>0</v>
      </c>
      <c r="T81" s="7">
        <v>0</v>
      </c>
      <c r="X81" s="6" t="s">
        <v>124</v>
      </c>
      <c r="Y81" s="7">
        <v>0</v>
      </c>
      <c r="Z81" s="7">
        <v>0</v>
      </c>
    </row>
    <row r="82" spans="18:26" x14ac:dyDescent="0.2">
      <c r="R82" s="6" t="s">
        <v>125</v>
      </c>
      <c r="S82" s="7">
        <v>0</v>
      </c>
      <c r="T82" s="7">
        <v>0</v>
      </c>
      <c r="X82" s="6" t="s">
        <v>125</v>
      </c>
      <c r="Y82" s="7">
        <v>0</v>
      </c>
      <c r="Z82" s="7">
        <v>0</v>
      </c>
    </row>
    <row r="83" spans="18:26" x14ac:dyDescent="0.2">
      <c r="R83" s="6" t="s">
        <v>126</v>
      </c>
      <c r="S83" s="7">
        <v>0</v>
      </c>
      <c r="T83" s="7">
        <v>0</v>
      </c>
      <c r="X83" s="6" t="s">
        <v>126</v>
      </c>
      <c r="Y83" s="7">
        <v>0</v>
      </c>
      <c r="Z83" s="7">
        <v>0</v>
      </c>
    </row>
    <row r="84" spans="18:26" x14ac:dyDescent="0.2">
      <c r="R84" s="6" t="s">
        <v>17</v>
      </c>
      <c r="S84" s="7">
        <v>0</v>
      </c>
      <c r="T84" s="7">
        <v>0</v>
      </c>
      <c r="X84" s="6" t="s">
        <v>17</v>
      </c>
      <c r="Y84" s="7">
        <v>0</v>
      </c>
      <c r="Z84" s="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D31"/>
  <sheetViews>
    <sheetView workbookViewId="0">
      <pane xSplit="3" ySplit="3" topLeftCell="D4" activePane="bottomRight" state="frozen"/>
      <selection pane="topRight" activeCell="D1" sqref="D1"/>
      <selection pane="bottomLeft" activeCell="A4" sqref="A4"/>
      <selection pane="bottomRight" activeCell="D1" sqref="D1"/>
    </sheetView>
  </sheetViews>
  <sheetFormatPr defaultColWidth="9" defaultRowHeight="12" x14ac:dyDescent="0.2"/>
  <cols>
    <col min="1" max="1" width="28.83203125" style="21" bestFit="1" customWidth="1"/>
    <col min="2" max="2" width="36.1640625" style="21" bestFit="1" customWidth="1"/>
    <col min="3" max="3" width="22.1640625" style="21" bestFit="1" customWidth="1"/>
    <col min="4" max="4" width="15.33203125" style="21" bestFit="1" customWidth="1"/>
    <col min="5" max="16384" width="9" style="21"/>
  </cols>
  <sheetData>
    <row r="3" spans="1:4" x14ac:dyDescent="0.2">
      <c r="A3" s="22" t="s">
        <v>7</v>
      </c>
      <c r="B3" s="22" t="s">
        <v>8</v>
      </c>
      <c r="C3" s="22" t="s">
        <v>20</v>
      </c>
      <c r="D3" s="22" t="s">
        <v>9</v>
      </c>
    </row>
    <row r="4" spans="1:4" x14ac:dyDescent="0.2">
      <c r="A4" t="s">
        <v>129</v>
      </c>
      <c r="B4" t="s">
        <v>130</v>
      </c>
      <c r="C4" t="s">
        <v>45</v>
      </c>
      <c r="D4" s="4">
        <v>0</v>
      </c>
    </row>
    <row r="5" spans="1:4" x14ac:dyDescent="0.2">
      <c r="A5" t="s">
        <v>129</v>
      </c>
      <c r="B5" t="s">
        <v>130</v>
      </c>
      <c r="C5" t="s">
        <v>46</v>
      </c>
      <c r="D5" s="4">
        <v>0</v>
      </c>
    </row>
    <row r="6" spans="1:4" x14ac:dyDescent="0.2">
      <c r="A6" t="s">
        <v>129</v>
      </c>
      <c r="B6" t="s">
        <v>131</v>
      </c>
      <c r="C6" t="s">
        <v>45</v>
      </c>
      <c r="D6" s="4">
        <v>0</v>
      </c>
    </row>
    <row r="7" spans="1:4" x14ac:dyDescent="0.2">
      <c r="A7" t="s">
        <v>129</v>
      </c>
      <c r="B7" t="s">
        <v>131</v>
      </c>
      <c r="C7" t="s">
        <v>46</v>
      </c>
      <c r="D7" s="4">
        <v>0</v>
      </c>
    </row>
    <row r="8" spans="1:4" x14ac:dyDescent="0.2">
      <c r="A8" t="s">
        <v>129</v>
      </c>
      <c r="B8" t="s">
        <v>132</v>
      </c>
      <c r="C8" t="s">
        <v>45</v>
      </c>
      <c r="D8" s="4">
        <v>0</v>
      </c>
    </row>
    <row r="9" spans="1:4" x14ac:dyDescent="0.2">
      <c r="A9" t="s">
        <v>129</v>
      </c>
      <c r="B9" t="s">
        <v>132</v>
      </c>
      <c r="C9" t="s">
        <v>46</v>
      </c>
      <c r="D9" s="4">
        <v>0</v>
      </c>
    </row>
    <row r="10" spans="1:4" x14ac:dyDescent="0.2">
      <c r="A10" t="s">
        <v>129</v>
      </c>
      <c r="B10" t="s">
        <v>133</v>
      </c>
      <c r="C10" t="s">
        <v>45</v>
      </c>
      <c r="D10" s="4">
        <v>0</v>
      </c>
    </row>
    <row r="11" spans="1:4" x14ac:dyDescent="0.2">
      <c r="A11" t="s">
        <v>129</v>
      </c>
      <c r="B11" t="s">
        <v>133</v>
      </c>
      <c r="C11" t="s">
        <v>46</v>
      </c>
      <c r="D11" s="4">
        <v>0</v>
      </c>
    </row>
    <row r="12" spans="1:4" x14ac:dyDescent="0.2">
      <c r="A12" t="s">
        <v>129</v>
      </c>
      <c r="B12" t="s">
        <v>134</v>
      </c>
      <c r="C12" t="s">
        <v>45</v>
      </c>
      <c r="D12" s="4">
        <v>0</v>
      </c>
    </row>
    <row r="13" spans="1:4" x14ac:dyDescent="0.2">
      <c r="A13" t="s">
        <v>129</v>
      </c>
      <c r="B13" t="s">
        <v>134</v>
      </c>
      <c r="C13" t="s">
        <v>46</v>
      </c>
      <c r="D13" s="4">
        <v>0</v>
      </c>
    </row>
    <row r="14" spans="1:4" x14ac:dyDescent="0.2">
      <c r="A14" t="s">
        <v>129</v>
      </c>
      <c r="B14" t="s">
        <v>135</v>
      </c>
      <c r="C14" t="s">
        <v>45</v>
      </c>
      <c r="D14" s="4">
        <v>0</v>
      </c>
    </row>
    <row r="15" spans="1:4" x14ac:dyDescent="0.2">
      <c r="A15" t="s">
        <v>129</v>
      </c>
      <c r="B15" t="s">
        <v>135</v>
      </c>
      <c r="C15" t="s">
        <v>46</v>
      </c>
      <c r="D15" s="4">
        <v>0</v>
      </c>
    </row>
    <row r="16" spans="1:4" x14ac:dyDescent="0.2">
      <c r="A16" t="s">
        <v>129</v>
      </c>
      <c r="B16" t="s">
        <v>136</v>
      </c>
      <c r="C16" t="s">
        <v>45</v>
      </c>
      <c r="D16" s="4">
        <v>0</v>
      </c>
    </row>
    <row r="17" spans="1:4" x14ac:dyDescent="0.2">
      <c r="A17" t="s">
        <v>129</v>
      </c>
      <c r="B17" t="s">
        <v>136</v>
      </c>
      <c r="C17" t="s">
        <v>46</v>
      </c>
      <c r="D17" s="4">
        <v>0</v>
      </c>
    </row>
    <row r="18" spans="1:4" x14ac:dyDescent="0.2">
      <c r="A18" t="s">
        <v>129</v>
      </c>
      <c r="B18" t="s">
        <v>137</v>
      </c>
      <c r="C18" t="s">
        <v>45</v>
      </c>
      <c r="D18" s="4">
        <v>0</v>
      </c>
    </row>
    <row r="19" spans="1:4" x14ac:dyDescent="0.2">
      <c r="A19" t="s">
        <v>129</v>
      </c>
      <c r="B19" t="s">
        <v>137</v>
      </c>
      <c r="C19" t="s">
        <v>46</v>
      </c>
      <c r="D19" s="4">
        <v>0</v>
      </c>
    </row>
    <row r="20" spans="1:4" x14ac:dyDescent="0.2">
      <c r="A20" t="s">
        <v>129</v>
      </c>
      <c r="B20" t="s">
        <v>138</v>
      </c>
      <c r="C20" t="s">
        <v>45</v>
      </c>
      <c r="D20" s="4">
        <v>0</v>
      </c>
    </row>
    <row r="21" spans="1:4" x14ac:dyDescent="0.2">
      <c r="A21" t="s">
        <v>129</v>
      </c>
      <c r="B21" t="s">
        <v>138</v>
      </c>
      <c r="C21" t="s">
        <v>46</v>
      </c>
      <c r="D21" s="4">
        <v>0</v>
      </c>
    </row>
    <row r="22" spans="1:4" x14ac:dyDescent="0.2">
      <c r="A22" t="s">
        <v>129</v>
      </c>
      <c r="B22" t="s">
        <v>139</v>
      </c>
      <c r="C22" t="s">
        <v>45</v>
      </c>
      <c r="D22" s="4">
        <v>0</v>
      </c>
    </row>
    <row r="23" spans="1:4" x14ac:dyDescent="0.2">
      <c r="A23" t="s">
        <v>129</v>
      </c>
      <c r="B23" t="s">
        <v>139</v>
      </c>
      <c r="C23" t="s">
        <v>46</v>
      </c>
      <c r="D23" s="4">
        <v>0</v>
      </c>
    </row>
    <row r="24" spans="1:4" x14ac:dyDescent="0.2">
      <c r="A24" t="s">
        <v>129</v>
      </c>
      <c r="B24" t="s">
        <v>140</v>
      </c>
      <c r="C24" t="s">
        <v>45</v>
      </c>
      <c r="D24" s="4">
        <v>0</v>
      </c>
    </row>
    <row r="25" spans="1:4" x14ac:dyDescent="0.2">
      <c r="A25" t="s">
        <v>129</v>
      </c>
      <c r="B25" t="s">
        <v>140</v>
      </c>
      <c r="C25" t="s">
        <v>46</v>
      </c>
      <c r="D25" s="4">
        <v>0</v>
      </c>
    </row>
    <row r="26" spans="1:4" x14ac:dyDescent="0.2">
      <c r="A26" t="s">
        <v>129</v>
      </c>
      <c r="B26" t="s">
        <v>141</v>
      </c>
      <c r="C26" t="s">
        <v>45</v>
      </c>
      <c r="D26" s="4">
        <v>0</v>
      </c>
    </row>
    <row r="27" spans="1:4" x14ac:dyDescent="0.2">
      <c r="A27" t="s">
        <v>129</v>
      </c>
      <c r="B27" t="s">
        <v>141</v>
      </c>
      <c r="C27" t="s">
        <v>46</v>
      </c>
      <c r="D27" s="4">
        <v>0</v>
      </c>
    </row>
    <row r="28" spans="1:4" x14ac:dyDescent="0.2">
      <c r="A28" t="s">
        <v>129</v>
      </c>
      <c r="B28" t="s">
        <v>142</v>
      </c>
      <c r="C28" t="s">
        <v>45</v>
      </c>
      <c r="D28" s="4">
        <v>0</v>
      </c>
    </row>
    <row r="29" spans="1:4" x14ac:dyDescent="0.2">
      <c r="A29" t="s">
        <v>129</v>
      </c>
      <c r="B29" t="s">
        <v>142</v>
      </c>
      <c r="C29" t="s">
        <v>46</v>
      </c>
      <c r="D29" s="4">
        <v>0</v>
      </c>
    </row>
    <row r="30" spans="1:4" x14ac:dyDescent="0.2">
      <c r="A30" t="s">
        <v>129</v>
      </c>
      <c r="B30" t="s">
        <v>143</v>
      </c>
      <c r="C30" t="s">
        <v>45</v>
      </c>
      <c r="D30" s="4">
        <v>0</v>
      </c>
    </row>
    <row r="31" spans="1:4" x14ac:dyDescent="0.2">
      <c r="A31" t="s">
        <v>129</v>
      </c>
      <c r="B31" t="s">
        <v>143</v>
      </c>
      <c r="C31" t="s">
        <v>46</v>
      </c>
      <c r="D31" s="4">
        <v>0</v>
      </c>
    </row>
  </sheetData>
  <sheetProtection formatColumns="0"/>
  <autoFilter ref="A3:D3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71"/>
  <sheetViews>
    <sheetView workbookViewId="0">
      <pane xSplit="6" ySplit="3" topLeftCell="R4" activePane="bottomRight" state="frozen"/>
      <selection pane="topRight" activeCell="F1" sqref="F1"/>
      <selection pane="bottomLeft" activeCell="A4" sqref="A4"/>
      <selection pane="bottomRight" activeCell="R182" sqref="R182"/>
    </sheetView>
  </sheetViews>
  <sheetFormatPr defaultColWidth="9" defaultRowHeight="12" x14ac:dyDescent="0.2"/>
  <cols>
    <col min="1" max="1" width="30.33203125" style="21" bestFit="1" customWidth="1"/>
    <col min="2" max="2" width="37.83203125" style="21" bestFit="1" customWidth="1"/>
    <col min="3" max="3" width="5.83203125" style="21" bestFit="1" customWidth="1"/>
    <col min="4" max="4" width="24.83203125" style="21" bestFit="1" customWidth="1"/>
    <col min="5" max="5" width="14.83203125" style="21" bestFit="1" customWidth="1"/>
    <col min="6" max="6" width="10.6640625" style="21" bestFit="1" customWidth="1"/>
    <col min="7" max="7" width="12.1640625" style="21" bestFit="1" customWidth="1"/>
    <col min="8" max="8" width="11.83203125" style="21" bestFit="1" customWidth="1"/>
    <col min="9" max="9" width="17.83203125" style="21" bestFit="1" customWidth="1"/>
    <col min="10" max="10" width="22.1640625" style="26" bestFit="1" customWidth="1"/>
    <col min="11" max="11" width="32.6640625" style="21" bestFit="1" customWidth="1"/>
    <col min="12" max="12" width="12.1640625" style="21" bestFit="1" customWidth="1"/>
    <col min="13" max="13" width="22.1640625" style="26" bestFit="1" customWidth="1"/>
    <col min="14" max="14" width="28.83203125" style="21" bestFit="1" customWidth="1"/>
    <col min="15" max="15" width="12.1640625" style="21" bestFit="1" customWidth="1"/>
    <col min="16" max="16" width="22.1640625" style="26" bestFit="1" customWidth="1"/>
    <col min="17" max="17" width="29.33203125" style="21" bestFit="1" customWidth="1"/>
    <col min="18" max="18" width="12.1640625" style="21" bestFit="1" customWidth="1"/>
    <col min="19" max="19" width="22.1640625" style="26" bestFit="1" customWidth="1"/>
    <col min="20" max="20" width="30.83203125" style="21" bestFit="1" customWidth="1"/>
    <col min="21" max="21" width="12.1640625" style="21" bestFit="1" customWidth="1"/>
    <col min="22" max="22" width="22.1640625" style="26" bestFit="1" customWidth="1"/>
    <col min="23" max="23" width="28.83203125" style="21" bestFit="1" customWidth="1"/>
    <col min="24" max="16384" width="9" style="21"/>
  </cols>
  <sheetData>
    <row r="1" spans="1:23" x14ac:dyDescent="0.2">
      <c r="A1" s="15"/>
      <c r="B1" s="16" t="s">
        <v>47</v>
      </c>
      <c r="C1" s="16"/>
      <c r="D1" s="17" t="s">
        <v>48</v>
      </c>
      <c r="E1" s="18"/>
      <c r="F1" s="18"/>
      <c r="G1" s="18"/>
      <c r="H1" s="18"/>
      <c r="I1" s="18"/>
      <c r="J1" s="19"/>
      <c r="K1" s="31">
        <f>SUM(K4:K171)</f>
        <v>0</v>
      </c>
      <c r="L1" s="18"/>
      <c r="M1" s="19"/>
      <c r="N1" s="20">
        <f>SUM(N4:N171)</f>
        <v>0</v>
      </c>
      <c r="O1" s="18"/>
      <c r="P1" s="19"/>
      <c r="Q1" s="20">
        <f>SUM(Q4:Q171)</f>
        <v>0</v>
      </c>
      <c r="R1" s="18"/>
      <c r="S1" s="19"/>
      <c r="T1" s="20">
        <f>SUM(T4:T171)</f>
        <v>0</v>
      </c>
      <c r="U1" s="18"/>
      <c r="V1" s="19"/>
      <c r="W1" s="20">
        <f>SUM(W4:W171)</f>
        <v>0</v>
      </c>
    </row>
    <row r="2" spans="1:23" x14ac:dyDescent="0.2">
      <c r="A2" s="22"/>
      <c r="B2" s="40" t="s">
        <v>49</v>
      </c>
      <c r="C2" s="23"/>
      <c r="D2" s="3"/>
      <c r="E2" s="23"/>
      <c r="F2" s="23"/>
      <c r="G2" s="3" t="s">
        <v>14</v>
      </c>
      <c r="H2" s="1"/>
      <c r="I2" s="1"/>
      <c r="J2" s="9"/>
      <c r="K2" s="2"/>
      <c r="L2" s="3" t="s">
        <v>10</v>
      </c>
      <c r="M2" s="9"/>
      <c r="N2" s="2"/>
      <c r="O2" s="3" t="s">
        <v>11</v>
      </c>
      <c r="P2" s="9"/>
      <c r="Q2" s="2"/>
      <c r="R2" s="3" t="s">
        <v>12</v>
      </c>
      <c r="S2" s="9"/>
      <c r="T2" s="2"/>
      <c r="U2" s="3" t="s">
        <v>13</v>
      </c>
      <c r="V2" s="9"/>
      <c r="W2" s="2"/>
    </row>
    <row r="3" spans="1:23" x14ac:dyDescent="0.2">
      <c r="A3" s="22" t="s">
        <v>1</v>
      </c>
      <c r="B3" s="22" t="s">
        <v>2</v>
      </c>
      <c r="C3" s="22" t="s">
        <v>19</v>
      </c>
      <c r="D3" s="22" t="s">
        <v>20</v>
      </c>
      <c r="E3" s="22" t="s">
        <v>30</v>
      </c>
      <c r="F3" s="22" t="s">
        <v>3</v>
      </c>
      <c r="G3" s="22" t="s">
        <v>28</v>
      </c>
      <c r="H3" s="22" t="s">
        <v>29</v>
      </c>
      <c r="I3" s="22" t="s">
        <v>50</v>
      </c>
      <c r="J3" s="24" t="s">
        <v>51</v>
      </c>
      <c r="K3" s="22" t="s">
        <v>52</v>
      </c>
      <c r="L3" s="22" t="s">
        <v>28</v>
      </c>
      <c r="M3" s="24" t="s">
        <v>51</v>
      </c>
      <c r="N3" s="22" t="s">
        <v>159</v>
      </c>
      <c r="O3" s="22" t="s">
        <v>28</v>
      </c>
      <c r="P3" s="24" t="s">
        <v>51</v>
      </c>
      <c r="Q3" s="22" t="s">
        <v>160</v>
      </c>
      <c r="R3" s="22" t="s">
        <v>28</v>
      </c>
      <c r="S3" s="24" t="s">
        <v>51</v>
      </c>
      <c r="T3" s="22" t="s">
        <v>161</v>
      </c>
      <c r="U3" s="22" t="s">
        <v>28</v>
      </c>
      <c r="V3" s="24" t="s">
        <v>51</v>
      </c>
      <c r="W3" s="22" t="s">
        <v>53</v>
      </c>
    </row>
    <row r="4" spans="1:23" x14ac:dyDescent="0.2">
      <c r="A4" s="25" t="s">
        <v>129</v>
      </c>
      <c r="B4" s="25" t="s">
        <v>130</v>
      </c>
      <c r="C4" s="25">
        <v>332</v>
      </c>
      <c r="D4" s="25" t="s">
        <v>54</v>
      </c>
      <c r="E4" s="25" t="s">
        <v>31</v>
      </c>
      <c r="F4" s="25">
        <v>201807</v>
      </c>
      <c r="G4" s="13">
        <v>0</v>
      </c>
      <c r="H4" s="13">
        <v>0</v>
      </c>
      <c r="I4" s="13">
        <v>0</v>
      </c>
      <c r="J4" s="12">
        <v>0</v>
      </c>
      <c r="K4" s="13">
        <v>0</v>
      </c>
      <c r="L4" s="13">
        <v>0</v>
      </c>
      <c r="M4" s="12">
        <v>0</v>
      </c>
      <c r="N4" s="13">
        <v>0</v>
      </c>
      <c r="O4" s="13">
        <f t="shared" ref="O4:O67" si="0">G4</f>
        <v>0</v>
      </c>
      <c r="P4" s="12">
        <f t="shared" ref="P4:Q67" si="1">J4</f>
        <v>0</v>
      </c>
      <c r="Q4" s="13">
        <f t="shared" si="1"/>
        <v>0</v>
      </c>
      <c r="R4" s="8">
        <f>O4</f>
        <v>0</v>
      </c>
      <c r="S4" s="11">
        <f t="shared" ref="R4:S67" si="2">P4</f>
        <v>0</v>
      </c>
      <c r="T4" s="8">
        <f t="shared" ref="T4:T67" si="3">R4*S4</f>
        <v>0</v>
      </c>
      <c r="U4" s="13">
        <f t="shared" ref="U4:V67" si="4">R4</f>
        <v>0</v>
      </c>
      <c r="V4" s="12">
        <f t="shared" si="4"/>
        <v>0</v>
      </c>
      <c r="W4" s="13">
        <f>ROUND(T4,0)</f>
        <v>0</v>
      </c>
    </row>
    <row r="5" spans="1:23" x14ac:dyDescent="0.2">
      <c r="A5" s="25" t="s">
        <v>129</v>
      </c>
      <c r="B5" s="25" t="s">
        <v>130</v>
      </c>
      <c r="C5" s="25">
        <v>332</v>
      </c>
      <c r="D5" s="25" t="s">
        <v>54</v>
      </c>
      <c r="E5" s="25" t="s">
        <v>31</v>
      </c>
      <c r="F5" s="25">
        <v>201808</v>
      </c>
      <c r="G5" s="13">
        <v>0</v>
      </c>
      <c r="H5" s="13">
        <v>0</v>
      </c>
      <c r="I5" s="13">
        <v>0</v>
      </c>
      <c r="J5" s="12">
        <v>0</v>
      </c>
      <c r="K5" s="13">
        <v>0</v>
      </c>
      <c r="L5" s="13">
        <v>0</v>
      </c>
      <c r="M5" s="12">
        <v>0</v>
      </c>
      <c r="N5" s="13">
        <v>0</v>
      </c>
      <c r="O5" s="13">
        <f t="shared" si="0"/>
        <v>0</v>
      </c>
      <c r="P5" s="12">
        <f t="shared" si="1"/>
        <v>0</v>
      </c>
      <c r="Q5" s="13">
        <f t="shared" si="1"/>
        <v>0</v>
      </c>
      <c r="R5" s="8">
        <f t="shared" si="2"/>
        <v>0</v>
      </c>
      <c r="S5" s="11">
        <f t="shared" si="2"/>
        <v>0</v>
      </c>
      <c r="T5" s="8">
        <f t="shared" si="3"/>
        <v>0</v>
      </c>
      <c r="U5" s="13">
        <f t="shared" si="4"/>
        <v>0</v>
      </c>
      <c r="V5" s="12">
        <f t="shared" si="4"/>
        <v>0</v>
      </c>
      <c r="W5" s="13">
        <f t="shared" ref="W5:W68" si="5">ROUND(T5,0)</f>
        <v>0</v>
      </c>
    </row>
    <row r="6" spans="1:23" x14ac:dyDescent="0.2">
      <c r="A6" s="25" t="s">
        <v>129</v>
      </c>
      <c r="B6" s="25" t="s">
        <v>130</v>
      </c>
      <c r="C6" s="25">
        <v>332</v>
      </c>
      <c r="D6" s="25" t="s">
        <v>54</v>
      </c>
      <c r="E6" s="25" t="s">
        <v>31</v>
      </c>
      <c r="F6" s="25">
        <v>201809</v>
      </c>
      <c r="G6" s="13">
        <v>0</v>
      </c>
      <c r="H6" s="13">
        <v>0</v>
      </c>
      <c r="I6" s="13">
        <v>0</v>
      </c>
      <c r="J6" s="12">
        <v>0</v>
      </c>
      <c r="K6" s="13">
        <v>0</v>
      </c>
      <c r="L6" s="13">
        <v>0</v>
      </c>
      <c r="M6" s="12">
        <v>0</v>
      </c>
      <c r="N6" s="13">
        <v>0</v>
      </c>
      <c r="O6" s="13">
        <f t="shared" si="0"/>
        <v>0</v>
      </c>
      <c r="P6" s="12">
        <f t="shared" si="1"/>
        <v>0</v>
      </c>
      <c r="Q6" s="13">
        <f t="shared" si="1"/>
        <v>0</v>
      </c>
      <c r="R6" s="8">
        <f t="shared" si="2"/>
        <v>0</v>
      </c>
      <c r="S6" s="11">
        <f t="shared" si="2"/>
        <v>0</v>
      </c>
      <c r="T6" s="8">
        <f t="shared" si="3"/>
        <v>0</v>
      </c>
      <c r="U6" s="13">
        <f t="shared" si="4"/>
        <v>0</v>
      </c>
      <c r="V6" s="12">
        <f t="shared" si="4"/>
        <v>0</v>
      </c>
      <c r="W6" s="13">
        <f t="shared" si="5"/>
        <v>0</v>
      </c>
    </row>
    <row r="7" spans="1:23" x14ac:dyDescent="0.2">
      <c r="A7" s="25" t="s">
        <v>129</v>
      </c>
      <c r="B7" s="25" t="s">
        <v>130</v>
      </c>
      <c r="C7" s="25">
        <v>332</v>
      </c>
      <c r="D7" s="25" t="s">
        <v>54</v>
      </c>
      <c r="E7" s="25" t="s">
        <v>31</v>
      </c>
      <c r="F7" s="25">
        <v>201810</v>
      </c>
      <c r="G7" s="13">
        <v>0</v>
      </c>
      <c r="H7" s="13">
        <v>0</v>
      </c>
      <c r="I7" s="13">
        <v>0</v>
      </c>
      <c r="J7" s="12">
        <v>0</v>
      </c>
      <c r="K7" s="13">
        <v>0</v>
      </c>
      <c r="L7" s="13">
        <v>0</v>
      </c>
      <c r="M7" s="12">
        <v>0</v>
      </c>
      <c r="N7" s="13">
        <v>0</v>
      </c>
      <c r="O7" s="13">
        <f t="shared" si="0"/>
        <v>0</v>
      </c>
      <c r="P7" s="12">
        <f t="shared" si="1"/>
        <v>0</v>
      </c>
      <c r="Q7" s="13">
        <f t="shared" si="1"/>
        <v>0</v>
      </c>
      <c r="R7" s="8">
        <f t="shared" si="2"/>
        <v>0</v>
      </c>
      <c r="S7" s="11">
        <f t="shared" si="2"/>
        <v>0</v>
      </c>
      <c r="T7" s="8">
        <f t="shared" si="3"/>
        <v>0</v>
      </c>
      <c r="U7" s="13">
        <f t="shared" si="4"/>
        <v>0</v>
      </c>
      <c r="V7" s="12">
        <f t="shared" si="4"/>
        <v>0</v>
      </c>
      <c r="W7" s="13">
        <f t="shared" si="5"/>
        <v>0</v>
      </c>
    </row>
    <row r="8" spans="1:23" x14ac:dyDescent="0.2">
      <c r="A8" s="25" t="s">
        <v>129</v>
      </c>
      <c r="B8" s="25" t="s">
        <v>130</v>
      </c>
      <c r="C8" s="25">
        <v>332</v>
      </c>
      <c r="D8" s="25" t="s">
        <v>54</v>
      </c>
      <c r="E8" s="25" t="s">
        <v>31</v>
      </c>
      <c r="F8" s="25">
        <v>201811</v>
      </c>
      <c r="G8" s="13">
        <v>0</v>
      </c>
      <c r="H8" s="13">
        <v>0</v>
      </c>
      <c r="I8" s="13">
        <v>0</v>
      </c>
      <c r="J8" s="12">
        <v>0</v>
      </c>
      <c r="K8" s="13">
        <v>0</v>
      </c>
      <c r="L8" s="13">
        <v>0</v>
      </c>
      <c r="M8" s="12">
        <v>0</v>
      </c>
      <c r="N8" s="13">
        <v>0</v>
      </c>
      <c r="O8" s="13">
        <f t="shared" si="0"/>
        <v>0</v>
      </c>
      <c r="P8" s="12">
        <f t="shared" si="1"/>
        <v>0</v>
      </c>
      <c r="Q8" s="13">
        <f t="shared" si="1"/>
        <v>0</v>
      </c>
      <c r="R8" s="8">
        <f t="shared" si="2"/>
        <v>0</v>
      </c>
      <c r="S8" s="11">
        <f t="shared" si="2"/>
        <v>0</v>
      </c>
      <c r="T8" s="8">
        <f t="shared" si="3"/>
        <v>0</v>
      </c>
      <c r="U8" s="13">
        <f t="shared" si="4"/>
        <v>0</v>
      </c>
      <c r="V8" s="12">
        <f t="shared" si="4"/>
        <v>0</v>
      </c>
      <c r="W8" s="13">
        <f t="shared" si="5"/>
        <v>0</v>
      </c>
    </row>
    <row r="9" spans="1:23" x14ac:dyDescent="0.2">
      <c r="A9" s="25" t="s">
        <v>129</v>
      </c>
      <c r="B9" s="25" t="s">
        <v>130</v>
      </c>
      <c r="C9" s="25">
        <v>332</v>
      </c>
      <c r="D9" s="25" t="s">
        <v>54</v>
      </c>
      <c r="E9" s="25" t="s">
        <v>31</v>
      </c>
      <c r="F9" s="25">
        <v>201812</v>
      </c>
      <c r="G9" s="13">
        <v>0</v>
      </c>
      <c r="H9" s="13">
        <v>0</v>
      </c>
      <c r="I9" s="13">
        <v>0</v>
      </c>
      <c r="J9" s="12">
        <v>0</v>
      </c>
      <c r="K9" s="13">
        <v>0</v>
      </c>
      <c r="L9" s="13">
        <v>0</v>
      </c>
      <c r="M9" s="12">
        <v>0</v>
      </c>
      <c r="N9" s="13">
        <v>0</v>
      </c>
      <c r="O9" s="13">
        <f t="shared" si="0"/>
        <v>0</v>
      </c>
      <c r="P9" s="12">
        <f t="shared" si="1"/>
        <v>0</v>
      </c>
      <c r="Q9" s="13">
        <f t="shared" si="1"/>
        <v>0</v>
      </c>
      <c r="R9" s="8">
        <f t="shared" si="2"/>
        <v>0</v>
      </c>
      <c r="S9" s="11">
        <f t="shared" si="2"/>
        <v>0</v>
      </c>
      <c r="T9" s="8">
        <f t="shared" si="3"/>
        <v>0</v>
      </c>
      <c r="U9" s="13">
        <f t="shared" si="4"/>
        <v>0</v>
      </c>
      <c r="V9" s="12">
        <f t="shared" si="4"/>
        <v>0</v>
      </c>
      <c r="W9" s="13">
        <f t="shared" si="5"/>
        <v>0</v>
      </c>
    </row>
    <row r="10" spans="1:23" x14ac:dyDescent="0.2">
      <c r="A10" s="25" t="s">
        <v>129</v>
      </c>
      <c r="B10" s="25" t="s">
        <v>130</v>
      </c>
      <c r="C10" s="25">
        <v>332</v>
      </c>
      <c r="D10" s="25" t="s">
        <v>55</v>
      </c>
      <c r="E10" s="25" t="s">
        <v>31</v>
      </c>
      <c r="F10" s="25">
        <v>201807</v>
      </c>
      <c r="G10" s="13">
        <v>0</v>
      </c>
      <c r="H10" s="13">
        <v>0</v>
      </c>
      <c r="I10" s="13">
        <v>0</v>
      </c>
      <c r="J10" s="12">
        <v>0</v>
      </c>
      <c r="K10" s="13">
        <v>0</v>
      </c>
      <c r="L10" s="13">
        <v>0</v>
      </c>
      <c r="M10" s="12">
        <v>0</v>
      </c>
      <c r="N10" s="13">
        <v>0</v>
      </c>
      <c r="O10" s="13">
        <f t="shared" si="0"/>
        <v>0</v>
      </c>
      <c r="P10" s="12">
        <f t="shared" si="1"/>
        <v>0</v>
      </c>
      <c r="Q10" s="13">
        <f t="shared" si="1"/>
        <v>0</v>
      </c>
      <c r="R10" s="8">
        <f t="shared" si="2"/>
        <v>0</v>
      </c>
      <c r="S10" s="11">
        <f t="shared" si="2"/>
        <v>0</v>
      </c>
      <c r="T10" s="8">
        <f t="shared" si="3"/>
        <v>0</v>
      </c>
      <c r="U10" s="13">
        <f t="shared" si="4"/>
        <v>0</v>
      </c>
      <c r="V10" s="12">
        <f t="shared" si="4"/>
        <v>0</v>
      </c>
      <c r="W10" s="13">
        <f t="shared" si="5"/>
        <v>0</v>
      </c>
    </row>
    <row r="11" spans="1:23" x14ac:dyDescent="0.2">
      <c r="A11" s="25" t="s">
        <v>129</v>
      </c>
      <c r="B11" s="25" t="s">
        <v>130</v>
      </c>
      <c r="C11" s="25">
        <v>332</v>
      </c>
      <c r="D11" s="25" t="s">
        <v>55</v>
      </c>
      <c r="E11" s="25" t="s">
        <v>31</v>
      </c>
      <c r="F11" s="25">
        <v>201808</v>
      </c>
      <c r="G11" s="13">
        <v>0</v>
      </c>
      <c r="H11" s="13">
        <v>0</v>
      </c>
      <c r="I11" s="13">
        <v>0</v>
      </c>
      <c r="J11" s="12">
        <v>0</v>
      </c>
      <c r="K11" s="13">
        <v>0</v>
      </c>
      <c r="L11" s="13">
        <v>0</v>
      </c>
      <c r="M11" s="12">
        <v>0</v>
      </c>
      <c r="N11" s="13">
        <v>0</v>
      </c>
      <c r="O11" s="13">
        <f t="shared" si="0"/>
        <v>0</v>
      </c>
      <c r="P11" s="12">
        <f t="shared" si="1"/>
        <v>0</v>
      </c>
      <c r="Q11" s="13">
        <f t="shared" si="1"/>
        <v>0</v>
      </c>
      <c r="R11" s="8">
        <f t="shared" si="2"/>
        <v>0</v>
      </c>
      <c r="S11" s="11">
        <f t="shared" si="2"/>
        <v>0</v>
      </c>
      <c r="T11" s="8">
        <f t="shared" si="3"/>
        <v>0</v>
      </c>
      <c r="U11" s="13">
        <f t="shared" si="4"/>
        <v>0</v>
      </c>
      <c r="V11" s="12">
        <f t="shared" si="4"/>
        <v>0</v>
      </c>
      <c r="W11" s="13">
        <f t="shared" si="5"/>
        <v>0</v>
      </c>
    </row>
    <row r="12" spans="1:23" x14ac:dyDescent="0.2">
      <c r="A12" s="25" t="s">
        <v>129</v>
      </c>
      <c r="B12" s="25" t="s">
        <v>130</v>
      </c>
      <c r="C12" s="25">
        <v>332</v>
      </c>
      <c r="D12" s="25" t="s">
        <v>55</v>
      </c>
      <c r="E12" s="25" t="s">
        <v>31</v>
      </c>
      <c r="F12" s="25">
        <v>201809</v>
      </c>
      <c r="G12" s="13">
        <v>0</v>
      </c>
      <c r="H12" s="13">
        <v>0</v>
      </c>
      <c r="I12" s="13">
        <v>0</v>
      </c>
      <c r="J12" s="12">
        <v>0</v>
      </c>
      <c r="K12" s="13">
        <v>0</v>
      </c>
      <c r="L12" s="13">
        <v>0</v>
      </c>
      <c r="M12" s="12">
        <v>0</v>
      </c>
      <c r="N12" s="13">
        <v>0</v>
      </c>
      <c r="O12" s="13">
        <f t="shared" si="0"/>
        <v>0</v>
      </c>
      <c r="P12" s="12">
        <f t="shared" si="1"/>
        <v>0</v>
      </c>
      <c r="Q12" s="13">
        <f t="shared" si="1"/>
        <v>0</v>
      </c>
      <c r="R12" s="8">
        <f t="shared" si="2"/>
        <v>0</v>
      </c>
      <c r="S12" s="11">
        <f t="shared" si="2"/>
        <v>0</v>
      </c>
      <c r="T12" s="8">
        <f t="shared" si="3"/>
        <v>0</v>
      </c>
      <c r="U12" s="13">
        <f t="shared" si="4"/>
        <v>0</v>
      </c>
      <c r="V12" s="12">
        <f t="shared" si="4"/>
        <v>0</v>
      </c>
      <c r="W12" s="13">
        <f t="shared" si="5"/>
        <v>0</v>
      </c>
    </row>
    <row r="13" spans="1:23" x14ac:dyDescent="0.2">
      <c r="A13" s="25" t="s">
        <v>129</v>
      </c>
      <c r="B13" s="25" t="s">
        <v>130</v>
      </c>
      <c r="C13" s="25">
        <v>332</v>
      </c>
      <c r="D13" s="25" t="s">
        <v>55</v>
      </c>
      <c r="E13" s="25" t="s">
        <v>31</v>
      </c>
      <c r="F13" s="25">
        <v>201810</v>
      </c>
      <c r="G13" s="13">
        <v>0</v>
      </c>
      <c r="H13" s="13">
        <v>0</v>
      </c>
      <c r="I13" s="13">
        <v>0</v>
      </c>
      <c r="J13" s="12">
        <v>0</v>
      </c>
      <c r="K13" s="13">
        <v>0</v>
      </c>
      <c r="L13" s="13">
        <v>0</v>
      </c>
      <c r="M13" s="12">
        <v>0</v>
      </c>
      <c r="N13" s="13">
        <v>0</v>
      </c>
      <c r="O13" s="13">
        <f t="shared" si="0"/>
        <v>0</v>
      </c>
      <c r="P13" s="12">
        <f t="shared" si="1"/>
        <v>0</v>
      </c>
      <c r="Q13" s="13">
        <f t="shared" si="1"/>
        <v>0</v>
      </c>
      <c r="R13" s="8">
        <f t="shared" si="2"/>
        <v>0</v>
      </c>
      <c r="S13" s="11">
        <f t="shared" si="2"/>
        <v>0</v>
      </c>
      <c r="T13" s="8">
        <f t="shared" si="3"/>
        <v>0</v>
      </c>
      <c r="U13" s="13">
        <f t="shared" si="4"/>
        <v>0</v>
      </c>
      <c r="V13" s="12">
        <f t="shared" si="4"/>
        <v>0</v>
      </c>
      <c r="W13" s="13">
        <f t="shared" si="5"/>
        <v>0</v>
      </c>
    </row>
    <row r="14" spans="1:23" x14ac:dyDescent="0.2">
      <c r="A14" s="25" t="s">
        <v>129</v>
      </c>
      <c r="B14" s="25" t="s">
        <v>130</v>
      </c>
      <c r="C14" s="25">
        <v>332</v>
      </c>
      <c r="D14" s="25" t="s">
        <v>55</v>
      </c>
      <c r="E14" s="25" t="s">
        <v>31</v>
      </c>
      <c r="F14" s="25">
        <v>201811</v>
      </c>
      <c r="G14" s="13">
        <v>0</v>
      </c>
      <c r="H14" s="13">
        <v>0</v>
      </c>
      <c r="I14" s="13">
        <v>0</v>
      </c>
      <c r="J14" s="12">
        <v>0</v>
      </c>
      <c r="K14" s="13">
        <v>0</v>
      </c>
      <c r="L14" s="13">
        <v>0</v>
      </c>
      <c r="M14" s="12">
        <v>0</v>
      </c>
      <c r="N14" s="13">
        <v>0</v>
      </c>
      <c r="O14" s="13">
        <f t="shared" si="0"/>
        <v>0</v>
      </c>
      <c r="P14" s="12">
        <f t="shared" si="1"/>
        <v>0</v>
      </c>
      <c r="Q14" s="13">
        <f t="shared" si="1"/>
        <v>0</v>
      </c>
      <c r="R14" s="8">
        <f t="shared" si="2"/>
        <v>0</v>
      </c>
      <c r="S14" s="11">
        <f t="shared" si="2"/>
        <v>0</v>
      </c>
      <c r="T14" s="8">
        <f t="shared" si="3"/>
        <v>0</v>
      </c>
      <c r="U14" s="13">
        <f t="shared" si="4"/>
        <v>0</v>
      </c>
      <c r="V14" s="12">
        <f t="shared" si="4"/>
        <v>0</v>
      </c>
      <c r="W14" s="13">
        <f t="shared" si="5"/>
        <v>0</v>
      </c>
    </row>
    <row r="15" spans="1:23" x14ac:dyDescent="0.2">
      <c r="A15" s="25" t="s">
        <v>129</v>
      </c>
      <c r="B15" s="25" t="s">
        <v>130</v>
      </c>
      <c r="C15" s="25">
        <v>332</v>
      </c>
      <c r="D15" s="25" t="s">
        <v>55</v>
      </c>
      <c r="E15" s="25" t="s">
        <v>31</v>
      </c>
      <c r="F15" s="25">
        <v>201812</v>
      </c>
      <c r="G15" s="13">
        <v>0</v>
      </c>
      <c r="H15" s="13">
        <v>0</v>
      </c>
      <c r="I15" s="13">
        <v>0</v>
      </c>
      <c r="J15" s="12">
        <v>0</v>
      </c>
      <c r="K15" s="13">
        <v>0</v>
      </c>
      <c r="L15" s="13">
        <v>0</v>
      </c>
      <c r="M15" s="12">
        <v>0</v>
      </c>
      <c r="N15" s="13">
        <v>0</v>
      </c>
      <c r="O15" s="13">
        <f t="shared" si="0"/>
        <v>0</v>
      </c>
      <c r="P15" s="12">
        <f t="shared" si="1"/>
        <v>0</v>
      </c>
      <c r="Q15" s="13">
        <f t="shared" si="1"/>
        <v>0</v>
      </c>
      <c r="R15" s="8">
        <f t="shared" si="2"/>
        <v>0</v>
      </c>
      <c r="S15" s="11">
        <f t="shared" si="2"/>
        <v>0</v>
      </c>
      <c r="T15" s="8">
        <f t="shared" si="3"/>
        <v>0</v>
      </c>
      <c r="U15" s="13">
        <f t="shared" si="4"/>
        <v>0</v>
      </c>
      <c r="V15" s="12">
        <f t="shared" si="4"/>
        <v>0</v>
      </c>
      <c r="W15" s="13">
        <f t="shared" si="5"/>
        <v>0</v>
      </c>
    </row>
    <row r="16" spans="1:23" x14ac:dyDescent="0.2">
      <c r="A16" s="25" t="s">
        <v>129</v>
      </c>
      <c r="B16" s="25" t="s">
        <v>131</v>
      </c>
      <c r="C16" s="25">
        <v>341</v>
      </c>
      <c r="D16" s="25" t="s">
        <v>54</v>
      </c>
      <c r="E16" s="25" t="s">
        <v>31</v>
      </c>
      <c r="F16" s="25">
        <v>201807</v>
      </c>
      <c r="G16" s="13">
        <v>0</v>
      </c>
      <c r="H16" s="13">
        <v>0</v>
      </c>
      <c r="I16" s="13">
        <v>0</v>
      </c>
      <c r="J16" s="12">
        <v>0</v>
      </c>
      <c r="K16" s="13">
        <v>0</v>
      </c>
      <c r="L16" s="13">
        <v>0</v>
      </c>
      <c r="M16" s="12">
        <v>0</v>
      </c>
      <c r="N16" s="13">
        <v>0</v>
      </c>
      <c r="O16" s="13">
        <f t="shared" si="0"/>
        <v>0</v>
      </c>
      <c r="P16" s="12">
        <f t="shared" si="1"/>
        <v>0</v>
      </c>
      <c r="Q16" s="13">
        <f t="shared" si="1"/>
        <v>0</v>
      </c>
      <c r="R16" s="8">
        <f t="shared" si="2"/>
        <v>0</v>
      </c>
      <c r="S16" s="11">
        <f t="shared" si="2"/>
        <v>0</v>
      </c>
      <c r="T16" s="8">
        <f t="shared" si="3"/>
        <v>0</v>
      </c>
      <c r="U16" s="13">
        <f t="shared" si="4"/>
        <v>0</v>
      </c>
      <c r="V16" s="12">
        <f t="shared" si="4"/>
        <v>0</v>
      </c>
      <c r="W16" s="13">
        <f t="shared" si="5"/>
        <v>0</v>
      </c>
    </row>
    <row r="17" spans="1:23" x14ac:dyDescent="0.2">
      <c r="A17" s="25" t="s">
        <v>129</v>
      </c>
      <c r="B17" s="25" t="s">
        <v>131</v>
      </c>
      <c r="C17" s="25">
        <v>341</v>
      </c>
      <c r="D17" s="25" t="s">
        <v>54</v>
      </c>
      <c r="E17" s="25" t="s">
        <v>31</v>
      </c>
      <c r="F17" s="25">
        <v>201808</v>
      </c>
      <c r="G17" s="13">
        <v>0</v>
      </c>
      <c r="H17" s="13">
        <v>0</v>
      </c>
      <c r="I17" s="13">
        <v>0</v>
      </c>
      <c r="J17" s="12">
        <v>0</v>
      </c>
      <c r="K17" s="13">
        <v>0</v>
      </c>
      <c r="L17" s="13">
        <v>0</v>
      </c>
      <c r="M17" s="12">
        <v>0</v>
      </c>
      <c r="N17" s="13">
        <v>0</v>
      </c>
      <c r="O17" s="13">
        <f t="shared" si="0"/>
        <v>0</v>
      </c>
      <c r="P17" s="12">
        <f t="shared" si="1"/>
        <v>0</v>
      </c>
      <c r="Q17" s="13">
        <f t="shared" si="1"/>
        <v>0</v>
      </c>
      <c r="R17" s="8">
        <f t="shared" si="2"/>
        <v>0</v>
      </c>
      <c r="S17" s="11">
        <f t="shared" si="2"/>
        <v>0</v>
      </c>
      <c r="T17" s="8">
        <f t="shared" si="3"/>
        <v>0</v>
      </c>
      <c r="U17" s="13">
        <f t="shared" si="4"/>
        <v>0</v>
      </c>
      <c r="V17" s="12">
        <f t="shared" si="4"/>
        <v>0</v>
      </c>
      <c r="W17" s="13">
        <f t="shared" si="5"/>
        <v>0</v>
      </c>
    </row>
    <row r="18" spans="1:23" x14ac:dyDescent="0.2">
      <c r="A18" s="25" t="s">
        <v>129</v>
      </c>
      <c r="B18" s="25" t="s">
        <v>131</v>
      </c>
      <c r="C18" s="25">
        <v>341</v>
      </c>
      <c r="D18" s="25" t="s">
        <v>54</v>
      </c>
      <c r="E18" s="25" t="s">
        <v>31</v>
      </c>
      <c r="F18" s="25">
        <v>201809</v>
      </c>
      <c r="G18" s="13">
        <v>0</v>
      </c>
      <c r="H18" s="13">
        <v>0</v>
      </c>
      <c r="I18" s="13">
        <v>0</v>
      </c>
      <c r="J18" s="12">
        <v>0</v>
      </c>
      <c r="K18" s="13">
        <v>0</v>
      </c>
      <c r="L18" s="13">
        <v>0</v>
      </c>
      <c r="M18" s="12">
        <v>0</v>
      </c>
      <c r="N18" s="13">
        <v>0</v>
      </c>
      <c r="O18" s="13">
        <f t="shared" si="0"/>
        <v>0</v>
      </c>
      <c r="P18" s="12">
        <f t="shared" si="1"/>
        <v>0</v>
      </c>
      <c r="Q18" s="13">
        <f t="shared" si="1"/>
        <v>0</v>
      </c>
      <c r="R18" s="8">
        <f t="shared" si="2"/>
        <v>0</v>
      </c>
      <c r="S18" s="11">
        <f t="shared" si="2"/>
        <v>0</v>
      </c>
      <c r="T18" s="8">
        <f t="shared" si="3"/>
        <v>0</v>
      </c>
      <c r="U18" s="13">
        <f t="shared" si="4"/>
        <v>0</v>
      </c>
      <c r="V18" s="12">
        <f t="shared" si="4"/>
        <v>0</v>
      </c>
      <c r="W18" s="13">
        <f t="shared" si="5"/>
        <v>0</v>
      </c>
    </row>
    <row r="19" spans="1:23" x14ac:dyDescent="0.2">
      <c r="A19" s="25" t="s">
        <v>129</v>
      </c>
      <c r="B19" s="25" t="s">
        <v>131</v>
      </c>
      <c r="C19" s="25">
        <v>341</v>
      </c>
      <c r="D19" s="25" t="s">
        <v>54</v>
      </c>
      <c r="E19" s="25" t="s">
        <v>31</v>
      </c>
      <c r="F19" s="25">
        <v>201810</v>
      </c>
      <c r="G19" s="13">
        <v>0</v>
      </c>
      <c r="H19" s="13">
        <v>0</v>
      </c>
      <c r="I19" s="13">
        <v>0</v>
      </c>
      <c r="J19" s="12">
        <v>0</v>
      </c>
      <c r="K19" s="13">
        <v>0</v>
      </c>
      <c r="L19" s="13">
        <v>0</v>
      </c>
      <c r="M19" s="12">
        <v>0</v>
      </c>
      <c r="N19" s="13">
        <v>0</v>
      </c>
      <c r="O19" s="13">
        <f t="shared" si="0"/>
        <v>0</v>
      </c>
      <c r="P19" s="12">
        <f t="shared" si="1"/>
        <v>0</v>
      </c>
      <c r="Q19" s="13">
        <f t="shared" si="1"/>
        <v>0</v>
      </c>
      <c r="R19" s="8">
        <f t="shared" si="2"/>
        <v>0</v>
      </c>
      <c r="S19" s="11">
        <f t="shared" si="2"/>
        <v>0</v>
      </c>
      <c r="T19" s="8">
        <f t="shared" si="3"/>
        <v>0</v>
      </c>
      <c r="U19" s="13">
        <f t="shared" si="4"/>
        <v>0</v>
      </c>
      <c r="V19" s="12">
        <f t="shared" si="4"/>
        <v>0</v>
      </c>
      <c r="W19" s="13">
        <f t="shared" si="5"/>
        <v>0</v>
      </c>
    </row>
    <row r="20" spans="1:23" x14ac:dyDescent="0.2">
      <c r="A20" s="25" t="s">
        <v>129</v>
      </c>
      <c r="B20" s="25" t="s">
        <v>131</v>
      </c>
      <c r="C20" s="25">
        <v>341</v>
      </c>
      <c r="D20" s="25" t="s">
        <v>54</v>
      </c>
      <c r="E20" s="25" t="s">
        <v>31</v>
      </c>
      <c r="F20" s="25">
        <v>201811</v>
      </c>
      <c r="G20" s="13">
        <v>0</v>
      </c>
      <c r="H20" s="13">
        <v>0</v>
      </c>
      <c r="I20" s="13">
        <v>0</v>
      </c>
      <c r="J20" s="12">
        <v>0</v>
      </c>
      <c r="K20" s="13">
        <v>0</v>
      </c>
      <c r="L20" s="13">
        <v>0</v>
      </c>
      <c r="M20" s="12">
        <v>0</v>
      </c>
      <c r="N20" s="13">
        <v>0</v>
      </c>
      <c r="O20" s="13">
        <f t="shared" si="0"/>
        <v>0</v>
      </c>
      <c r="P20" s="12">
        <f t="shared" si="1"/>
        <v>0</v>
      </c>
      <c r="Q20" s="13">
        <f t="shared" si="1"/>
        <v>0</v>
      </c>
      <c r="R20" s="8">
        <f t="shared" si="2"/>
        <v>0</v>
      </c>
      <c r="S20" s="11">
        <f t="shared" si="2"/>
        <v>0</v>
      </c>
      <c r="T20" s="8">
        <f t="shared" si="3"/>
        <v>0</v>
      </c>
      <c r="U20" s="13">
        <f t="shared" si="4"/>
        <v>0</v>
      </c>
      <c r="V20" s="12">
        <f t="shared" si="4"/>
        <v>0</v>
      </c>
      <c r="W20" s="13">
        <f t="shared" si="5"/>
        <v>0</v>
      </c>
    </row>
    <row r="21" spans="1:23" x14ac:dyDescent="0.2">
      <c r="A21" s="25" t="s">
        <v>129</v>
      </c>
      <c r="B21" s="25" t="s">
        <v>131</v>
      </c>
      <c r="C21" s="25">
        <v>341</v>
      </c>
      <c r="D21" s="25" t="s">
        <v>54</v>
      </c>
      <c r="E21" s="25" t="s">
        <v>31</v>
      </c>
      <c r="F21" s="25">
        <v>201812</v>
      </c>
      <c r="G21" s="13">
        <v>0</v>
      </c>
      <c r="H21" s="13">
        <v>0</v>
      </c>
      <c r="I21" s="13">
        <v>0</v>
      </c>
      <c r="J21" s="12">
        <v>0</v>
      </c>
      <c r="K21" s="13">
        <v>0</v>
      </c>
      <c r="L21" s="13">
        <v>0</v>
      </c>
      <c r="M21" s="12">
        <v>0</v>
      </c>
      <c r="N21" s="13">
        <v>0</v>
      </c>
      <c r="O21" s="13">
        <f t="shared" si="0"/>
        <v>0</v>
      </c>
      <c r="P21" s="12">
        <f t="shared" si="1"/>
        <v>0</v>
      </c>
      <c r="Q21" s="13">
        <f t="shared" si="1"/>
        <v>0</v>
      </c>
      <c r="R21" s="8">
        <f t="shared" si="2"/>
        <v>0</v>
      </c>
      <c r="S21" s="11">
        <f t="shared" si="2"/>
        <v>0</v>
      </c>
      <c r="T21" s="8">
        <f t="shared" si="3"/>
        <v>0</v>
      </c>
      <c r="U21" s="13">
        <f t="shared" si="4"/>
        <v>0</v>
      </c>
      <c r="V21" s="12">
        <f t="shared" si="4"/>
        <v>0</v>
      </c>
      <c r="W21" s="13">
        <f t="shared" si="5"/>
        <v>0</v>
      </c>
    </row>
    <row r="22" spans="1:23" x14ac:dyDescent="0.2">
      <c r="A22" s="25" t="s">
        <v>129</v>
      </c>
      <c r="B22" s="25" t="s">
        <v>131</v>
      </c>
      <c r="C22" s="25">
        <v>341</v>
      </c>
      <c r="D22" s="25" t="s">
        <v>55</v>
      </c>
      <c r="E22" s="25" t="s">
        <v>31</v>
      </c>
      <c r="F22" s="25">
        <v>201807</v>
      </c>
      <c r="G22" s="13">
        <v>0</v>
      </c>
      <c r="H22" s="13">
        <v>0</v>
      </c>
      <c r="I22" s="13">
        <v>0</v>
      </c>
      <c r="J22" s="12">
        <v>0</v>
      </c>
      <c r="K22" s="13">
        <v>0</v>
      </c>
      <c r="L22" s="13">
        <v>0</v>
      </c>
      <c r="M22" s="12">
        <v>0</v>
      </c>
      <c r="N22" s="13">
        <v>0</v>
      </c>
      <c r="O22" s="13">
        <f t="shared" si="0"/>
        <v>0</v>
      </c>
      <c r="P22" s="12">
        <f t="shared" si="1"/>
        <v>0</v>
      </c>
      <c r="Q22" s="13">
        <f t="shared" si="1"/>
        <v>0</v>
      </c>
      <c r="R22" s="8">
        <f t="shared" si="2"/>
        <v>0</v>
      </c>
      <c r="S22" s="11">
        <f t="shared" si="2"/>
        <v>0</v>
      </c>
      <c r="T22" s="8">
        <f t="shared" si="3"/>
        <v>0</v>
      </c>
      <c r="U22" s="13">
        <f t="shared" si="4"/>
        <v>0</v>
      </c>
      <c r="V22" s="12">
        <f t="shared" si="4"/>
        <v>0</v>
      </c>
      <c r="W22" s="13">
        <f t="shared" si="5"/>
        <v>0</v>
      </c>
    </row>
    <row r="23" spans="1:23" x14ac:dyDescent="0.2">
      <c r="A23" s="25" t="s">
        <v>129</v>
      </c>
      <c r="B23" s="25" t="s">
        <v>131</v>
      </c>
      <c r="C23" s="25">
        <v>341</v>
      </c>
      <c r="D23" s="25" t="s">
        <v>55</v>
      </c>
      <c r="E23" s="25" t="s">
        <v>31</v>
      </c>
      <c r="F23" s="25">
        <v>201808</v>
      </c>
      <c r="G23" s="13">
        <v>0</v>
      </c>
      <c r="H23" s="13">
        <v>0</v>
      </c>
      <c r="I23" s="13">
        <v>0</v>
      </c>
      <c r="J23" s="12">
        <v>0</v>
      </c>
      <c r="K23" s="13">
        <v>0</v>
      </c>
      <c r="L23" s="13">
        <v>0</v>
      </c>
      <c r="M23" s="12">
        <v>0</v>
      </c>
      <c r="N23" s="13">
        <v>0</v>
      </c>
      <c r="O23" s="13">
        <f t="shared" si="0"/>
        <v>0</v>
      </c>
      <c r="P23" s="12">
        <f t="shared" si="1"/>
        <v>0</v>
      </c>
      <c r="Q23" s="13">
        <f t="shared" si="1"/>
        <v>0</v>
      </c>
      <c r="R23" s="8">
        <f t="shared" si="2"/>
        <v>0</v>
      </c>
      <c r="S23" s="11">
        <f t="shared" si="2"/>
        <v>0</v>
      </c>
      <c r="T23" s="8">
        <f t="shared" si="3"/>
        <v>0</v>
      </c>
      <c r="U23" s="13">
        <f t="shared" si="4"/>
        <v>0</v>
      </c>
      <c r="V23" s="12">
        <f t="shared" si="4"/>
        <v>0</v>
      </c>
      <c r="W23" s="13">
        <f t="shared" si="5"/>
        <v>0</v>
      </c>
    </row>
    <row r="24" spans="1:23" x14ac:dyDescent="0.2">
      <c r="A24" s="25" t="s">
        <v>129</v>
      </c>
      <c r="B24" s="25" t="s">
        <v>131</v>
      </c>
      <c r="C24" s="25">
        <v>341</v>
      </c>
      <c r="D24" s="25" t="s">
        <v>55</v>
      </c>
      <c r="E24" s="25" t="s">
        <v>31</v>
      </c>
      <c r="F24" s="25">
        <v>201809</v>
      </c>
      <c r="G24" s="13">
        <v>0</v>
      </c>
      <c r="H24" s="13">
        <v>0</v>
      </c>
      <c r="I24" s="13">
        <v>0</v>
      </c>
      <c r="J24" s="12">
        <v>0</v>
      </c>
      <c r="K24" s="13">
        <v>0</v>
      </c>
      <c r="L24" s="13">
        <v>0</v>
      </c>
      <c r="M24" s="12">
        <v>0</v>
      </c>
      <c r="N24" s="13">
        <v>0</v>
      </c>
      <c r="O24" s="13">
        <f t="shared" si="0"/>
        <v>0</v>
      </c>
      <c r="P24" s="12">
        <f t="shared" si="1"/>
        <v>0</v>
      </c>
      <c r="Q24" s="13">
        <f t="shared" si="1"/>
        <v>0</v>
      </c>
      <c r="R24" s="8">
        <f t="shared" si="2"/>
        <v>0</v>
      </c>
      <c r="S24" s="11">
        <f t="shared" si="2"/>
        <v>0</v>
      </c>
      <c r="T24" s="8">
        <f t="shared" si="3"/>
        <v>0</v>
      </c>
      <c r="U24" s="13">
        <f t="shared" si="4"/>
        <v>0</v>
      </c>
      <c r="V24" s="12">
        <f t="shared" si="4"/>
        <v>0</v>
      </c>
      <c r="W24" s="13">
        <f t="shared" si="5"/>
        <v>0</v>
      </c>
    </row>
    <row r="25" spans="1:23" x14ac:dyDescent="0.2">
      <c r="A25" s="25" t="s">
        <v>129</v>
      </c>
      <c r="B25" s="25" t="s">
        <v>131</v>
      </c>
      <c r="C25" s="25">
        <v>341</v>
      </c>
      <c r="D25" s="25" t="s">
        <v>55</v>
      </c>
      <c r="E25" s="25" t="s">
        <v>31</v>
      </c>
      <c r="F25" s="25">
        <v>201810</v>
      </c>
      <c r="G25" s="13">
        <v>0</v>
      </c>
      <c r="H25" s="13">
        <v>0</v>
      </c>
      <c r="I25" s="13">
        <v>0</v>
      </c>
      <c r="J25" s="12">
        <v>0</v>
      </c>
      <c r="K25" s="13">
        <v>0</v>
      </c>
      <c r="L25" s="13">
        <v>0</v>
      </c>
      <c r="M25" s="12">
        <v>0</v>
      </c>
      <c r="N25" s="13">
        <v>0</v>
      </c>
      <c r="O25" s="13">
        <f t="shared" si="0"/>
        <v>0</v>
      </c>
      <c r="P25" s="12">
        <f t="shared" si="1"/>
        <v>0</v>
      </c>
      <c r="Q25" s="13">
        <f t="shared" si="1"/>
        <v>0</v>
      </c>
      <c r="R25" s="8">
        <f t="shared" si="2"/>
        <v>0</v>
      </c>
      <c r="S25" s="11">
        <f t="shared" si="2"/>
        <v>0</v>
      </c>
      <c r="T25" s="8">
        <f t="shared" si="3"/>
        <v>0</v>
      </c>
      <c r="U25" s="13">
        <f t="shared" si="4"/>
        <v>0</v>
      </c>
      <c r="V25" s="12">
        <f t="shared" si="4"/>
        <v>0</v>
      </c>
      <c r="W25" s="13">
        <f t="shared" si="5"/>
        <v>0</v>
      </c>
    </row>
    <row r="26" spans="1:23" x14ac:dyDescent="0.2">
      <c r="A26" s="25" t="s">
        <v>129</v>
      </c>
      <c r="B26" s="25" t="s">
        <v>131</v>
      </c>
      <c r="C26" s="25">
        <v>341</v>
      </c>
      <c r="D26" s="25" t="s">
        <v>55</v>
      </c>
      <c r="E26" s="25" t="s">
        <v>31</v>
      </c>
      <c r="F26" s="25">
        <v>201811</v>
      </c>
      <c r="G26" s="13">
        <v>0</v>
      </c>
      <c r="H26" s="13">
        <v>0</v>
      </c>
      <c r="I26" s="13">
        <v>0</v>
      </c>
      <c r="J26" s="12">
        <v>0</v>
      </c>
      <c r="K26" s="13">
        <v>0</v>
      </c>
      <c r="L26" s="13">
        <v>0</v>
      </c>
      <c r="M26" s="12">
        <v>0</v>
      </c>
      <c r="N26" s="13">
        <v>0</v>
      </c>
      <c r="O26" s="13">
        <f t="shared" si="0"/>
        <v>0</v>
      </c>
      <c r="P26" s="12">
        <f t="shared" si="1"/>
        <v>0</v>
      </c>
      <c r="Q26" s="13">
        <f t="shared" si="1"/>
        <v>0</v>
      </c>
      <c r="R26" s="8">
        <f t="shared" si="2"/>
        <v>0</v>
      </c>
      <c r="S26" s="11">
        <f t="shared" si="2"/>
        <v>0</v>
      </c>
      <c r="T26" s="8">
        <f t="shared" si="3"/>
        <v>0</v>
      </c>
      <c r="U26" s="13">
        <f t="shared" si="4"/>
        <v>0</v>
      </c>
      <c r="V26" s="12">
        <f t="shared" si="4"/>
        <v>0</v>
      </c>
      <c r="W26" s="13">
        <f t="shared" si="5"/>
        <v>0</v>
      </c>
    </row>
    <row r="27" spans="1:23" x14ac:dyDescent="0.2">
      <c r="A27" s="25" t="s">
        <v>129</v>
      </c>
      <c r="B27" s="25" t="s">
        <v>131</v>
      </c>
      <c r="C27" s="25">
        <v>341</v>
      </c>
      <c r="D27" s="25" t="s">
        <v>55</v>
      </c>
      <c r="E27" s="25" t="s">
        <v>31</v>
      </c>
      <c r="F27" s="25">
        <v>201812</v>
      </c>
      <c r="G27" s="13">
        <v>0</v>
      </c>
      <c r="H27" s="13">
        <v>0</v>
      </c>
      <c r="I27" s="13">
        <v>0</v>
      </c>
      <c r="J27" s="12">
        <v>0</v>
      </c>
      <c r="K27" s="13">
        <v>0</v>
      </c>
      <c r="L27" s="13">
        <v>0</v>
      </c>
      <c r="M27" s="12">
        <v>0</v>
      </c>
      <c r="N27" s="13">
        <v>0</v>
      </c>
      <c r="O27" s="13">
        <f t="shared" si="0"/>
        <v>0</v>
      </c>
      <c r="P27" s="12">
        <f t="shared" si="1"/>
        <v>0</v>
      </c>
      <c r="Q27" s="13">
        <f t="shared" si="1"/>
        <v>0</v>
      </c>
      <c r="R27" s="8">
        <f t="shared" si="2"/>
        <v>0</v>
      </c>
      <c r="S27" s="11">
        <f t="shared" si="2"/>
        <v>0</v>
      </c>
      <c r="T27" s="8">
        <f t="shared" si="3"/>
        <v>0</v>
      </c>
      <c r="U27" s="13">
        <f t="shared" si="4"/>
        <v>0</v>
      </c>
      <c r="V27" s="12">
        <f t="shared" si="4"/>
        <v>0</v>
      </c>
      <c r="W27" s="13">
        <f t="shared" si="5"/>
        <v>0</v>
      </c>
    </row>
    <row r="28" spans="1:23" x14ac:dyDescent="0.2">
      <c r="A28" s="25" t="s">
        <v>129</v>
      </c>
      <c r="B28" s="25" t="s">
        <v>132</v>
      </c>
      <c r="C28" s="25">
        <v>333</v>
      </c>
      <c r="D28" s="25" t="s">
        <v>54</v>
      </c>
      <c r="E28" s="25" t="s">
        <v>31</v>
      </c>
      <c r="F28" s="25">
        <v>201807</v>
      </c>
      <c r="G28" s="13">
        <v>0</v>
      </c>
      <c r="H28" s="13">
        <v>0</v>
      </c>
      <c r="I28" s="13">
        <v>0</v>
      </c>
      <c r="J28" s="12">
        <v>0</v>
      </c>
      <c r="K28" s="13">
        <v>0</v>
      </c>
      <c r="L28" s="13">
        <v>0</v>
      </c>
      <c r="M28" s="12">
        <v>0</v>
      </c>
      <c r="N28" s="13">
        <v>0</v>
      </c>
      <c r="O28" s="13">
        <f t="shared" si="0"/>
        <v>0</v>
      </c>
      <c r="P28" s="12">
        <f t="shared" si="1"/>
        <v>0</v>
      </c>
      <c r="Q28" s="13">
        <f t="shared" si="1"/>
        <v>0</v>
      </c>
      <c r="R28" s="8">
        <f t="shared" si="2"/>
        <v>0</v>
      </c>
      <c r="S28" s="11">
        <f t="shared" si="2"/>
        <v>0</v>
      </c>
      <c r="T28" s="8">
        <f t="shared" si="3"/>
        <v>0</v>
      </c>
      <c r="U28" s="13">
        <f t="shared" si="4"/>
        <v>0</v>
      </c>
      <c r="V28" s="12">
        <f t="shared" si="4"/>
        <v>0</v>
      </c>
      <c r="W28" s="13">
        <f t="shared" si="5"/>
        <v>0</v>
      </c>
    </row>
    <row r="29" spans="1:23" x14ac:dyDescent="0.2">
      <c r="A29" s="25" t="s">
        <v>129</v>
      </c>
      <c r="B29" s="25" t="s">
        <v>132</v>
      </c>
      <c r="C29" s="25">
        <v>333</v>
      </c>
      <c r="D29" s="25" t="s">
        <v>54</v>
      </c>
      <c r="E29" s="25" t="s">
        <v>31</v>
      </c>
      <c r="F29" s="25">
        <v>201808</v>
      </c>
      <c r="G29" s="13">
        <v>0</v>
      </c>
      <c r="H29" s="13">
        <v>0</v>
      </c>
      <c r="I29" s="13">
        <v>0</v>
      </c>
      <c r="J29" s="12">
        <v>0</v>
      </c>
      <c r="K29" s="13">
        <v>0</v>
      </c>
      <c r="L29" s="13">
        <v>0</v>
      </c>
      <c r="M29" s="12">
        <v>0</v>
      </c>
      <c r="N29" s="13">
        <v>0</v>
      </c>
      <c r="O29" s="13">
        <f t="shared" si="0"/>
        <v>0</v>
      </c>
      <c r="P29" s="12">
        <f t="shared" si="1"/>
        <v>0</v>
      </c>
      <c r="Q29" s="13">
        <f t="shared" si="1"/>
        <v>0</v>
      </c>
      <c r="R29" s="8">
        <f t="shared" si="2"/>
        <v>0</v>
      </c>
      <c r="S29" s="11">
        <f t="shared" si="2"/>
        <v>0</v>
      </c>
      <c r="T29" s="8">
        <f t="shared" si="3"/>
        <v>0</v>
      </c>
      <c r="U29" s="13">
        <f t="shared" si="4"/>
        <v>0</v>
      </c>
      <c r="V29" s="12">
        <f t="shared" si="4"/>
        <v>0</v>
      </c>
      <c r="W29" s="13">
        <f t="shared" si="5"/>
        <v>0</v>
      </c>
    </row>
    <row r="30" spans="1:23" x14ac:dyDescent="0.2">
      <c r="A30" s="25" t="s">
        <v>129</v>
      </c>
      <c r="B30" s="25" t="s">
        <v>132</v>
      </c>
      <c r="C30" s="25">
        <v>333</v>
      </c>
      <c r="D30" s="25" t="s">
        <v>54</v>
      </c>
      <c r="E30" s="25" t="s">
        <v>31</v>
      </c>
      <c r="F30" s="25">
        <v>201809</v>
      </c>
      <c r="G30" s="13">
        <v>0</v>
      </c>
      <c r="H30" s="13">
        <v>0</v>
      </c>
      <c r="I30" s="13">
        <v>0</v>
      </c>
      <c r="J30" s="12">
        <v>0</v>
      </c>
      <c r="K30" s="13">
        <v>0</v>
      </c>
      <c r="L30" s="13">
        <v>0</v>
      </c>
      <c r="M30" s="12">
        <v>0</v>
      </c>
      <c r="N30" s="13">
        <v>0</v>
      </c>
      <c r="O30" s="13">
        <f t="shared" si="0"/>
        <v>0</v>
      </c>
      <c r="P30" s="12">
        <f t="shared" si="1"/>
        <v>0</v>
      </c>
      <c r="Q30" s="13">
        <f t="shared" si="1"/>
        <v>0</v>
      </c>
      <c r="R30" s="8">
        <f t="shared" si="2"/>
        <v>0</v>
      </c>
      <c r="S30" s="11">
        <f t="shared" si="2"/>
        <v>0</v>
      </c>
      <c r="T30" s="8">
        <f t="shared" si="3"/>
        <v>0</v>
      </c>
      <c r="U30" s="13">
        <f t="shared" si="4"/>
        <v>0</v>
      </c>
      <c r="V30" s="12">
        <f t="shared" si="4"/>
        <v>0</v>
      </c>
      <c r="W30" s="13">
        <f t="shared" si="5"/>
        <v>0</v>
      </c>
    </row>
    <row r="31" spans="1:23" x14ac:dyDescent="0.2">
      <c r="A31" s="25" t="s">
        <v>129</v>
      </c>
      <c r="B31" s="25" t="s">
        <v>132</v>
      </c>
      <c r="C31" s="25">
        <v>333</v>
      </c>
      <c r="D31" s="25" t="s">
        <v>54</v>
      </c>
      <c r="E31" s="25" t="s">
        <v>31</v>
      </c>
      <c r="F31" s="25">
        <v>201810</v>
      </c>
      <c r="G31" s="13">
        <v>0</v>
      </c>
      <c r="H31" s="13">
        <v>0</v>
      </c>
      <c r="I31" s="13">
        <v>0</v>
      </c>
      <c r="J31" s="12">
        <v>0</v>
      </c>
      <c r="K31" s="13">
        <v>0</v>
      </c>
      <c r="L31" s="13">
        <v>0</v>
      </c>
      <c r="M31" s="12">
        <v>0</v>
      </c>
      <c r="N31" s="13">
        <v>0</v>
      </c>
      <c r="O31" s="13">
        <f t="shared" si="0"/>
        <v>0</v>
      </c>
      <c r="P31" s="12">
        <f t="shared" si="1"/>
        <v>0</v>
      </c>
      <c r="Q31" s="13">
        <f t="shared" si="1"/>
        <v>0</v>
      </c>
      <c r="R31" s="8">
        <f t="shared" si="2"/>
        <v>0</v>
      </c>
      <c r="S31" s="11">
        <f t="shared" si="2"/>
        <v>0</v>
      </c>
      <c r="T31" s="8">
        <f t="shared" si="3"/>
        <v>0</v>
      </c>
      <c r="U31" s="13">
        <f t="shared" si="4"/>
        <v>0</v>
      </c>
      <c r="V31" s="12">
        <f t="shared" si="4"/>
        <v>0</v>
      </c>
      <c r="W31" s="13">
        <f t="shared" si="5"/>
        <v>0</v>
      </c>
    </row>
    <row r="32" spans="1:23" x14ac:dyDescent="0.2">
      <c r="A32" s="25" t="s">
        <v>129</v>
      </c>
      <c r="B32" s="25" t="s">
        <v>132</v>
      </c>
      <c r="C32" s="25">
        <v>333</v>
      </c>
      <c r="D32" s="25" t="s">
        <v>54</v>
      </c>
      <c r="E32" s="25" t="s">
        <v>31</v>
      </c>
      <c r="F32" s="25">
        <v>201811</v>
      </c>
      <c r="G32" s="13">
        <v>0</v>
      </c>
      <c r="H32" s="13">
        <v>0</v>
      </c>
      <c r="I32" s="13">
        <v>0</v>
      </c>
      <c r="J32" s="12">
        <v>0</v>
      </c>
      <c r="K32" s="13">
        <v>0</v>
      </c>
      <c r="L32" s="13">
        <v>0</v>
      </c>
      <c r="M32" s="12">
        <v>0</v>
      </c>
      <c r="N32" s="13">
        <v>0</v>
      </c>
      <c r="O32" s="13">
        <f t="shared" si="0"/>
        <v>0</v>
      </c>
      <c r="P32" s="12">
        <f t="shared" si="1"/>
        <v>0</v>
      </c>
      <c r="Q32" s="13">
        <f t="shared" si="1"/>
        <v>0</v>
      </c>
      <c r="R32" s="8">
        <f t="shared" si="2"/>
        <v>0</v>
      </c>
      <c r="S32" s="11">
        <f t="shared" si="2"/>
        <v>0</v>
      </c>
      <c r="T32" s="8">
        <f t="shared" si="3"/>
        <v>0</v>
      </c>
      <c r="U32" s="13">
        <f t="shared" si="4"/>
        <v>0</v>
      </c>
      <c r="V32" s="12">
        <f t="shared" si="4"/>
        <v>0</v>
      </c>
      <c r="W32" s="13">
        <f t="shared" si="5"/>
        <v>0</v>
      </c>
    </row>
    <row r="33" spans="1:23" x14ac:dyDescent="0.2">
      <c r="A33" s="25" t="s">
        <v>129</v>
      </c>
      <c r="B33" s="25" t="s">
        <v>132</v>
      </c>
      <c r="C33" s="25">
        <v>333</v>
      </c>
      <c r="D33" s="25" t="s">
        <v>54</v>
      </c>
      <c r="E33" s="25" t="s">
        <v>31</v>
      </c>
      <c r="F33" s="25">
        <v>201812</v>
      </c>
      <c r="G33" s="13">
        <v>0</v>
      </c>
      <c r="H33" s="13">
        <v>0</v>
      </c>
      <c r="I33" s="13">
        <v>0</v>
      </c>
      <c r="J33" s="12">
        <v>0</v>
      </c>
      <c r="K33" s="13">
        <v>0</v>
      </c>
      <c r="L33" s="13">
        <v>0</v>
      </c>
      <c r="M33" s="12">
        <v>0</v>
      </c>
      <c r="N33" s="13">
        <v>0</v>
      </c>
      <c r="O33" s="13">
        <f t="shared" si="0"/>
        <v>0</v>
      </c>
      <c r="P33" s="12">
        <f t="shared" si="1"/>
        <v>0</v>
      </c>
      <c r="Q33" s="13">
        <f t="shared" si="1"/>
        <v>0</v>
      </c>
      <c r="R33" s="8">
        <f t="shared" si="2"/>
        <v>0</v>
      </c>
      <c r="S33" s="11">
        <f t="shared" si="2"/>
        <v>0</v>
      </c>
      <c r="T33" s="8">
        <f t="shared" si="3"/>
        <v>0</v>
      </c>
      <c r="U33" s="13">
        <f t="shared" si="4"/>
        <v>0</v>
      </c>
      <c r="V33" s="12">
        <f t="shared" si="4"/>
        <v>0</v>
      </c>
      <c r="W33" s="13">
        <f t="shared" si="5"/>
        <v>0</v>
      </c>
    </row>
    <row r="34" spans="1:23" x14ac:dyDescent="0.2">
      <c r="A34" s="25" t="s">
        <v>129</v>
      </c>
      <c r="B34" s="25" t="s">
        <v>132</v>
      </c>
      <c r="C34" s="25">
        <v>333</v>
      </c>
      <c r="D34" s="25" t="s">
        <v>55</v>
      </c>
      <c r="E34" s="25" t="s">
        <v>31</v>
      </c>
      <c r="F34" s="25">
        <v>201807</v>
      </c>
      <c r="G34" s="13">
        <v>0</v>
      </c>
      <c r="H34" s="13">
        <v>0</v>
      </c>
      <c r="I34" s="13">
        <v>0</v>
      </c>
      <c r="J34" s="12">
        <v>0</v>
      </c>
      <c r="K34" s="13">
        <v>0</v>
      </c>
      <c r="L34" s="13">
        <v>0</v>
      </c>
      <c r="M34" s="12">
        <v>0</v>
      </c>
      <c r="N34" s="13">
        <v>0</v>
      </c>
      <c r="O34" s="13">
        <f t="shared" si="0"/>
        <v>0</v>
      </c>
      <c r="P34" s="12">
        <f t="shared" si="1"/>
        <v>0</v>
      </c>
      <c r="Q34" s="13">
        <f t="shared" si="1"/>
        <v>0</v>
      </c>
      <c r="R34" s="8">
        <f t="shared" si="2"/>
        <v>0</v>
      </c>
      <c r="S34" s="11">
        <f t="shared" si="2"/>
        <v>0</v>
      </c>
      <c r="T34" s="8">
        <f t="shared" si="3"/>
        <v>0</v>
      </c>
      <c r="U34" s="13">
        <f t="shared" si="4"/>
        <v>0</v>
      </c>
      <c r="V34" s="12">
        <f t="shared" si="4"/>
        <v>0</v>
      </c>
      <c r="W34" s="13">
        <f t="shared" si="5"/>
        <v>0</v>
      </c>
    </row>
    <row r="35" spans="1:23" x14ac:dyDescent="0.2">
      <c r="A35" s="25" t="s">
        <v>129</v>
      </c>
      <c r="B35" s="25" t="s">
        <v>132</v>
      </c>
      <c r="C35" s="25">
        <v>333</v>
      </c>
      <c r="D35" s="25" t="s">
        <v>55</v>
      </c>
      <c r="E35" s="25" t="s">
        <v>31</v>
      </c>
      <c r="F35" s="25">
        <v>201808</v>
      </c>
      <c r="G35" s="13">
        <v>0</v>
      </c>
      <c r="H35" s="13">
        <v>0</v>
      </c>
      <c r="I35" s="13">
        <v>0</v>
      </c>
      <c r="J35" s="12">
        <v>0</v>
      </c>
      <c r="K35" s="13">
        <v>0</v>
      </c>
      <c r="L35" s="13">
        <v>0</v>
      </c>
      <c r="M35" s="12">
        <v>0</v>
      </c>
      <c r="N35" s="13">
        <v>0</v>
      </c>
      <c r="O35" s="13">
        <f t="shared" si="0"/>
        <v>0</v>
      </c>
      <c r="P35" s="12">
        <f t="shared" si="1"/>
        <v>0</v>
      </c>
      <c r="Q35" s="13">
        <f t="shared" si="1"/>
        <v>0</v>
      </c>
      <c r="R35" s="8">
        <f t="shared" si="2"/>
        <v>0</v>
      </c>
      <c r="S35" s="11">
        <f t="shared" si="2"/>
        <v>0</v>
      </c>
      <c r="T35" s="8">
        <f t="shared" si="3"/>
        <v>0</v>
      </c>
      <c r="U35" s="13">
        <f t="shared" si="4"/>
        <v>0</v>
      </c>
      <c r="V35" s="12">
        <f t="shared" si="4"/>
        <v>0</v>
      </c>
      <c r="W35" s="13">
        <f t="shared" si="5"/>
        <v>0</v>
      </c>
    </row>
    <row r="36" spans="1:23" x14ac:dyDescent="0.2">
      <c r="A36" s="25" t="s">
        <v>129</v>
      </c>
      <c r="B36" s="25" t="s">
        <v>132</v>
      </c>
      <c r="C36" s="25">
        <v>333</v>
      </c>
      <c r="D36" s="25" t="s">
        <v>55</v>
      </c>
      <c r="E36" s="25" t="s">
        <v>31</v>
      </c>
      <c r="F36" s="25">
        <v>201809</v>
      </c>
      <c r="G36" s="13">
        <v>0</v>
      </c>
      <c r="H36" s="13">
        <v>0</v>
      </c>
      <c r="I36" s="13">
        <v>0</v>
      </c>
      <c r="J36" s="12">
        <v>0</v>
      </c>
      <c r="K36" s="13">
        <v>0</v>
      </c>
      <c r="L36" s="13">
        <v>0</v>
      </c>
      <c r="M36" s="12">
        <v>0</v>
      </c>
      <c r="N36" s="13">
        <v>0</v>
      </c>
      <c r="O36" s="13">
        <f t="shared" si="0"/>
        <v>0</v>
      </c>
      <c r="P36" s="12">
        <f t="shared" si="1"/>
        <v>0</v>
      </c>
      <c r="Q36" s="13">
        <f t="shared" si="1"/>
        <v>0</v>
      </c>
      <c r="R36" s="8">
        <f t="shared" si="2"/>
        <v>0</v>
      </c>
      <c r="S36" s="11">
        <f t="shared" si="2"/>
        <v>0</v>
      </c>
      <c r="T36" s="8">
        <f t="shared" si="3"/>
        <v>0</v>
      </c>
      <c r="U36" s="13">
        <f t="shared" si="4"/>
        <v>0</v>
      </c>
      <c r="V36" s="12">
        <f t="shared" si="4"/>
        <v>0</v>
      </c>
      <c r="W36" s="13">
        <f t="shared" si="5"/>
        <v>0</v>
      </c>
    </row>
    <row r="37" spans="1:23" x14ac:dyDescent="0.2">
      <c r="A37" s="25" t="s">
        <v>129</v>
      </c>
      <c r="B37" s="25" t="s">
        <v>132</v>
      </c>
      <c r="C37" s="25">
        <v>333</v>
      </c>
      <c r="D37" s="25" t="s">
        <v>55</v>
      </c>
      <c r="E37" s="25" t="s">
        <v>31</v>
      </c>
      <c r="F37" s="25">
        <v>201810</v>
      </c>
      <c r="G37" s="13">
        <v>0</v>
      </c>
      <c r="H37" s="13">
        <v>0</v>
      </c>
      <c r="I37" s="13">
        <v>0</v>
      </c>
      <c r="J37" s="12">
        <v>0</v>
      </c>
      <c r="K37" s="13">
        <v>0</v>
      </c>
      <c r="L37" s="13">
        <v>0</v>
      </c>
      <c r="M37" s="12">
        <v>0</v>
      </c>
      <c r="N37" s="13">
        <v>0</v>
      </c>
      <c r="O37" s="13">
        <f t="shared" si="0"/>
        <v>0</v>
      </c>
      <c r="P37" s="12">
        <f t="shared" si="1"/>
        <v>0</v>
      </c>
      <c r="Q37" s="13">
        <f t="shared" si="1"/>
        <v>0</v>
      </c>
      <c r="R37" s="8">
        <f t="shared" si="2"/>
        <v>0</v>
      </c>
      <c r="S37" s="11">
        <f t="shared" si="2"/>
        <v>0</v>
      </c>
      <c r="T37" s="8">
        <f t="shared" si="3"/>
        <v>0</v>
      </c>
      <c r="U37" s="13">
        <f t="shared" si="4"/>
        <v>0</v>
      </c>
      <c r="V37" s="12">
        <f t="shared" si="4"/>
        <v>0</v>
      </c>
      <c r="W37" s="13">
        <f t="shared" si="5"/>
        <v>0</v>
      </c>
    </row>
    <row r="38" spans="1:23" x14ac:dyDescent="0.2">
      <c r="A38" s="25" t="s">
        <v>129</v>
      </c>
      <c r="B38" s="25" t="s">
        <v>132</v>
      </c>
      <c r="C38" s="25">
        <v>333</v>
      </c>
      <c r="D38" s="25" t="s">
        <v>55</v>
      </c>
      <c r="E38" s="25" t="s">
        <v>31</v>
      </c>
      <c r="F38" s="25">
        <v>201811</v>
      </c>
      <c r="G38" s="13">
        <v>0</v>
      </c>
      <c r="H38" s="13">
        <v>0</v>
      </c>
      <c r="I38" s="13">
        <v>0</v>
      </c>
      <c r="J38" s="12">
        <v>0</v>
      </c>
      <c r="K38" s="13">
        <v>0</v>
      </c>
      <c r="L38" s="13">
        <v>0</v>
      </c>
      <c r="M38" s="12">
        <v>0</v>
      </c>
      <c r="N38" s="13">
        <v>0</v>
      </c>
      <c r="O38" s="13">
        <f t="shared" si="0"/>
        <v>0</v>
      </c>
      <c r="P38" s="12">
        <f t="shared" si="1"/>
        <v>0</v>
      </c>
      <c r="Q38" s="13">
        <f t="shared" si="1"/>
        <v>0</v>
      </c>
      <c r="R38" s="8">
        <f t="shared" si="2"/>
        <v>0</v>
      </c>
      <c r="S38" s="11">
        <f t="shared" si="2"/>
        <v>0</v>
      </c>
      <c r="T38" s="8">
        <f t="shared" si="3"/>
        <v>0</v>
      </c>
      <c r="U38" s="13">
        <f t="shared" si="4"/>
        <v>0</v>
      </c>
      <c r="V38" s="12">
        <f t="shared" si="4"/>
        <v>0</v>
      </c>
      <c r="W38" s="13">
        <f t="shared" si="5"/>
        <v>0</v>
      </c>
    </row>
    <row r="39" spans="1:23" x14ac:dyDescent="0.2">
      <c r="A39" s="25" t="s">
        <v>129</v>
      </c>
      <c r="B39" s="25" t="s">
        <v>132</v>
      </c>
      <c r="C39" s="25">
        <v>333</v>
      </c>
      <c r="D39" s="25" t="s">
        <v>55</v>
      </c>
      <c r="E39" s="25" t="s">
        <v>31</v>
      </c>
      <c r="F39" s="25">
        <v>201812</v>
      </c>
      <c r="G39" s="13">
        <v>0</v>
      </c>
      <c r="H39" s="13">
        <v>0</v>
      </c>
      <c r="I39" s="13">
        <v>0</v>
      </c>
      <c r="J39" s="12">
        <v>0</v>
      </c>
      <c r="K39" s="13">
        <v>0</v>
      </c>
      <c r="L39" s="13">
        <v>0</v>
      </c>
      <c r="M39" s="12">
        <v>0</v>
      </c>
      <c r="N39" s="13">
        <v>0</v>
      </c>
      <c r="O39" s="13">
        <f t="shared" si="0"/>
        <v>0</v>
      </c>
      <c r="P39" s="12">
        <f t="shared" si="1"/>
        <v>0</v>
      </c>
      <c r="Q39" s="13">
        <f t="shared" si="1"/>
        <v>0</v>
      </c>
      <c r="R39" s="8">
        <f t="shared" si="2"/>
        <v>0</v>
      </c>
      <c r="S39" s="11">
        <f t="shared" si="2"/>
        <v>0</v>
      </c>
      <c r="T39" s="8">
        <f t="shared" si="3"/>
        <v>0</v>
      </c>
      <c r="U39" s="13">
        <f t="shared" si="4"/>
        <v>0</v>
      </c>
      <c r="V39" s="12">
        <f t="shared" si="4"/>
        <v>0</v>
      </c>
      <c r="W39" s="13">
        <f t="shared" si="5"/>
        <v>0</v>
      </c>
    </row>
    <row r="40" spans="1:23" x14ac:dyDescent="0.2">
      <c r="A40" s="25" t="s">
        <v>129</v>
      </c>
      <c r="B40" s="25" t="s">
        <v>133</v>
      </c>
      <c r="C40" s="25">
        <v>338</v>
      </c>
      <c r="D40" s="25" t="s">
        <v>54</v>
      </c>
      <c r="E40" s="25" t="s">
        <v>31</v>
      </c>
      <c r="F40" s="25">
        <v>201807</v>
      </c>
      <c r="G40" s="13">
        <v>0</v>
      </c>
      <c r="H40" s="13">
        <v>0</v>
      </c>
      <c r="I40" s="13">
        <v>0</v>
      </c>
      <c r="J40" s="12">
        <v>0</v>
      </c>
      <c r="K40" s="13">
        <v>0</v>
      </c>
      <c r="L40" s="13">
        <v>0</v>
      </c>
      <c r="M40" s="12">
        <v>0</v>
      </c>
      <c r="N40" s="13">
        <v>0</v>
      </c>
      <c r="O40" s="13">
        <f t="shared" si="0"/>
        <v>0</v>
      </c>
      <c r="P40" s="12">
        <f t="shared" si="1"/>
        <v>0</v>
      </c>
      <c r="Q40" s="13">
        <f t="shared" si="1"/>
        <v>0</v>
      </c>
      <c r="R40" s="8">
        <f t="shared" si="2"/>
        <v>0</v>
      </c>
      <c r="S40" s="11">
        <f t="shared" si="2"/>
        <v>0</v>
      </c>
      <c r="T40" s="8">
        <f t="shared" si="3"/>
        <v>0</v>
      </c>
      <c r="U40" s="13">
        <f t="shared" si="4"/>
        <v>0</v>
      </c>
      <c r="V40" s="12">
        <f t="shared" si="4"/>
        <v>0</v>
      </c>
      <c r="W40" s="13">
        <f t="shared" si="5"/>
        <v>0</v>
      </c>
    </row>
    <row r="41" spans="1:23" x14ac:dyDescent="0.2">
      <c r="A41" s="25" t="s">
        <v>129</v>
      </c>
      <c r="B41" s="25" t="s">
        <v>133</v>
      </c>
      <c r="C41" s="25">
        <v>338</v>
      </c>
      <c r="D41" s="25" t="s">
        <v>54</v>
      </c>
      <c r="E41" s="25" t="s">
        <v>31</v>
      </c>
      <c r="F41" s="25">
        <v>201808</v>
      </c>
      <c r="G41" s="13">
        <v>0</v>
      </c>
      <c r="H41" s="13">
        <v>0</v>
      </c>
      <c r="I41" s="13">
        <v>0</v>
      </c>
      <c r="J41" s="12">
        <v>0</v>
      </c>
      <c r="K41" s="13">
        <v>0</v>
      </c>
      <c r="L41" s="13">
        <v>0</v>
      </c>
      <c r="M41" s="12">
        <v>0</v>
      </c>
      <c r="N41" s="13">
        <v>0</v>
      </c>
      <c r="O41" s="13">
        <f t="shared" si="0"/>
        <v>0</v>
      </c>
      <c r="P41" s="12">
        <f t="shared" si="1"/>
        <v>0</v>
      </c>
      <c r="Q41" s="13">
        <f t="shared" si="1"/>
        <v>0</v>
      </c>
      <c r="R41" s="8">
        <f t="shared" si="2"/>
        <v>0</v>
      </c>
      <c r="S41" s="11">
        <f t="shared" si="2"/>
        <v>0</v>
      </c>
      <c r="T41" s="8">
        <f t="shared" si="3"/>
        <v>0</v>
      </c>
      <c r="U41" s="13">
        <f t="shared" si="4"/>
        <v>0</v>
      </c>
      <c r="V41" s="12">
        <f t="shared" si="4"/>
        <v>0</v>
      </c>
      <c r="W41" s="13">
        <f t="shared" si="5"/>
        <v>0</v>
      </c>
    </row>
    <row r="42" spans="1:23" x14ac:dyDescent="0.2">
      <c r="A42" s="25" t="s">
        <v>129</v>
      </c>
      <c r="B42" s="25" t="s">
        <v>133</v>
      </c>
      <c r="C42" s="25">
        <v>338</v>
      </c>
      <c r="D42" s="25" t="s">
        <v>54</v>
      </c>
      <c r="E42" s="25" t="s">
        <v>31</v>
      </c>
      <c r="F42" s="25">
        <v>201809</v>
      </c>
      <c r="G42" s="13">
        <v>0</v>
      </c>
      <c r="H42" s="13">
        <v>0</v>
      </c>
      <c r="I42" s="13">
        <v>0</v>
      </c>
      <c r="J42" s="12">
        <v>0</v>
      </c>
      <c r="K42" s="13">
        <v>0</v>
      </c>
      <c r="L42" s="13">
        <v>0</v>
      </c>
      <c r="M42" s="12">
        <v>0</v>
      </c>
      <c r="N42" s="13">
        <v>0</v>
      </c>
      <c r="O42" s="13">
        <f t="shared" si="0"/>
        <v>0</v>
      </c>
      <c r="P42" s="12">
        <f t="shared" si="1"/>
        <v>0</v>
      </c>
      <c r="Q42" s="13">
        <f t="shared" si="1"/>
        <v>0</v>
      </c>
      <c r="R42" s="8">
        <f t="shared" si="2"/>
        <v>0</v>
      </c>
      <c r="S42" s="11">
        <f t="shared" si="2"/>
        <v>0</v>
      </c>
      <c r="T42" s="8">
        <f t="shared" si="3"/>
        <v>0</v>
      </c>
      <c r="U42" s="13">
        <f t="shared" si="4"/>
        <v>0</v>
      </c>
      <c r="V42" s="12">
        <f t="shared" si="4"/>
        <v>0</v>
      </c>
      <c r="W42" s="13">
        <f t="shared" si="5"/>
        <v>0</v>
      </c>
    </row>
    <row r="43" spans="1:23" x14ac:dyDescent="0.2">
      <c r="A43" s="25" t="s">
        <v>129</v>
      </c>
      <c r="B43" s="25" t="s">
        <v>133</v>
      </c>
      <c r="C43" s="25">
        <v>338</v>
      </c>
      <c r="D43" s="25" t="s">
        <v>54</v>
      </c>
      <c r="E43" s="25" t="s">
        <v>31</v>
      </c>
      <c r="F43" s="25">
        <v>201810</v>
      </c>
      <c r="G43" s="13">
        <v>0</v>
      </c>
      <c r="H43" s="13">
        <v>0</v>
      </c>
      <c r="I43" s="13">
        <v>0</v>
      </c>
      <c r="J43" s="12">
        <v>0</v>
      </c>
      <c r="K43" s="13">
        <v>0</v>
      </c>
      <c r="L43" s="13">
        <v>0</v>
      </c>
      <c r="M43" s="12">
        <v>0</v>
      </c>
      <c r="N43" s="13">
        <v>0</v>
      </c>
      <c r="O43" s="13">
        <f t="shared" si="0"/>
        <v>0</v>
      </c>
      <c r="P43" s="12">
        <f t="shared" si="1"/>
        <v>0</v>
      </c>
      <c r="Q43" s="13">
        <f t="shared" si="1"/>
        <v>0</v>
      </c>
      <c r="R43" s="8">
        <f t="shared" si="2"/>
        <v>0</v>
      </c>
      <c r="S43" s="11">
        <f t="shared" si="2"/>
        <v>0</v>
      </c>
      <c r="T43" s="8">
        <f t="shared" si="3"/>
        <v>0</v>
      </c>
      <c r="U43" s="13">
        <f t="shared" si="4"/>
        <v>0</v>
      </c>
      <c r="V43" s="12">
        <f t="shared" si="4"/>
        <v>0</v>
      </c>
      <c r="W43" s="13">
        <f t="shared" si="5"/>
        <v>0</v>
      </c>
    </row>
    <row r="44" spans="1:23" x14ac:dyDescent="0.2">
      <c r="A44" s="25" t="s">
        <v>129</v>
      </c>
      <c r="B44" s="25" t="s">
        <v>133</v>
      </c>
      <c r="C44" s="25">
        <v>338</v>
      </c>
      <c r="D44" s="25" t="s">
        <v>54</v>
      </c>
      <c r="E44" s="25" t="s">
        <v>31</v>
      </c>
      <c r="F44" s="25">
        <v>201811</v>
      </c>
      <c r="G44" s="13">
        <v>0</v>
      </c>
      <c r="H44" s="13">
        <v>0</v>
      </c>
      <c r="I44" s="13">
        <v>0</v>
      </c>
      <c r="J44" s="12">
        <v>0</v>
      </c>
      <c r="K44" s="13">
        <v>0</v>
      </c>
      <c r="L44" s="13">
        <v>0</v>
      </c>
      <c r="M44" s="12">
        <v>0</v>
      </c>
      <c r="N44" s="13">
        <v>0</v>
      </c>
      <c r="O44" s="13">
        <f t="shared" si="0"/>
        <v>0</v>
      </c>
      <c r="P44" s="12">
        <f t="shared" si="1"/>
        <v>0</v>
      </c>
      <c r="Q44" s="13">
        <f t="shared" si="1"/>
        <v>0</v>
      </c>
      <c r="R44" s="8">
        <f t="shared" si="2"/>
        <v>0</v>
      </c>
      <c r="S44" s="11">
        <f t="shared" si="2"/>
        <v>0</v>
      </c>
      <c r="T44" s="8">
        <f t="shared" si="3"/>
        <v>0</v>
      </c>
      <c r="U44" s="13">
        <f t="shared" si="4"/>
        <v>0</v>
      </c>
      <c r="V44" s="12">
        <f t="shared" si="4"/>
        <v>0</v>
      </c>
      <c r="W44" s="13">
        <f t="shared" si="5"/>
        <v>0</v>
      </c>
    </row>
    <row r="45" spans="1:23" x14ac:dyDescent="0.2">
      <c r="A45" s="25" t="s">
        <v>129</v>
      </c>
      <c r="B45" s="25" t="s">
        <v>133</v>
      </c>
      <c r="C45" s="25">
        <v>338</v>
      </c>
      <c r="D45" s="25" t="s">
        <v>54</v>
      </c>
      <c r="E45" s="25" t="s">
        <v>31</v>
      </c>
      <c r="F45" s="25">
        <v>201812</v>
      </c>
      <c r="G45" s="13">
        <v>0</v>
      </c>
      <c r="H45" s="13">
        <v>0</v>
      </c>
      <c r="I45" s="13">
        <v>0</v>
      </c>
      <c r="J45" s="12">
        <v>0</v>
      </c>
      <c r="K45" s="13">
        <v>0</v>
      </c>
      <c r="L45" s="13">
        <v>0</v>
      </c>
      <c r="M45" s="12">
        <v>0</v>
      </c>
      <c r="N45" s="13">
        <v>0</v>
      </c>
      <c r="O45" s="13">
        <f t="shared" si="0"/>
        <v>0</v>
      </c>
      <c r="P45" s="12">
        <f t="shared" si="1"/>
        <v>0</v>
      </c>
      <c r="Q45" s="13">
        <f t="shared" si="1"/>
        <v>0</v>
      </c>
      <c r="R45" s="8">
        <f t="shared" si="2"/>
        <v>0</v>
      </c>
      <c r="S45" s="11">
        <f t="shared" si="2"/>
        <v>0</v>
      </c>
      <c r="T45" s="8">
        <f t="shared" si="3"/>
        <v>0</v>
      </c>
      <c r="U45" s="13">
        <f t="shared" si="4"/>
        <v>0</v>
      </c>
      <c r="V45" s="12">
        <f t="shared" si="4"/>
        <v>0</v>
      </c>
      <c r="W45" s="13">
        <f t="shared" si="5"/>
        <v>0</v>
      </c>
    </row>
    <row r="46" spans="1:23" x14ac:dyDescent="0.2">
      <c r="A46" s="25" t="s">
        <v>129</v>
      </c>
      <c r="B46" s="25" t="s">
        <v>133</v>
      </c>
      <c r="C46" s="25">
        <v>338</v>
      </c>
      <c r="D46" s="25" t="s">
        <v>55</v>
      </c>
      <c r="E46" s="25" t="s">
        <v>31</v>
      </c>
      <c r="F46" s="25">
        <v>201807</v>
      </c>
      <c r="G46" s="13">
        <v>0</v>
      </c>
      <c r="H46" s="13">
        <v>0</v>
      </c>
      <c r="I46" s="13">
        <v>0</v>
      </c>
      <c r="J46" s="12">
        <v>0</v>
      </c>
      <c r="K46" s="13">
        <v>0</v>
      </c>
      <c r="L46" s="13">
        <v>0</v>
      </c>
      <c r="M46" s="12">
        <v>0</v>
      </c>
      <c r="N46" s="13">
        <v>0</v>
      </c>
      <c r="O46" s="13">
        <f t="shared" si="0"/>
        <v>0</v>
      </c>
      <c r="P46" s="12">
        <f t="shared" si="1"/>
        <v>0</v>
      </c>
      <c r="Q46" s="13">
        <f t="shared" si="1"/>
        <v>0</v>
      </c>
      <c r="R46" s="8">
        <f t="shared" si="2"/>
        <v>0</v>
      </c>
      <c r="S46" s="11">
        <f t="shared" si="2"/>
        <v>0</v>
      </c>
      <c r="T46" s="8">
        <f t="shared" si="3"/>
        <v>0</v>
      </c>
      <c r="U46" s="13">
        <f t="shared" si="4"/>
        <v>0</v>
      </c>
      <c r="V46" s="12">
        <f t="shared" si="4"/>
        <v>0</v>
      </c>
      <c r="W46" s="13">
        <f t="shared" si="5"/>
        <v>0</v>
      </c>
    </row>
    <row r="47" spans="1:23" x14ac:dyDescent="0.2">
      <c r="A47" s="25" t="s">
        <v>129</v>
      </c>
      <c r="B47" s="25" t="s">
        <v>133</v>
      </c>
      <c r="C47" s="25">
        <v>338</v>
      </c>
      <c r="D47" s="25" t="s">
        <v>55</v>
      </c>
      <c r="E47" s="25" t="s">
        <v>31</v>
      </c>
      <c r="F47" s="25">
        <v>201808</v>
      </c>
      <c r="G47" s="13">
        <v>0</v>
      </c>
      <c r="H47" s="13">
        <v>0</v>
      </c>
      <c r="I47" s="13">
        <v>0</v>
      </c>
      <c r="J47" s="12">
        <v>0</v>
      </c>
      <c r="K47" s="13">
        <v>0</v>
      </c>
      <c r="L47" s="13">
        <v>0</v>
      </c>
      <c r="M47" s="12">
        <v>0</v>
      </c>
      <c r="N47" s="13">
        <v>0</v>
      </c>
      <c r="O47" s="13">
        <f t="shared" si="0"/>
        <v>0</v>
      </c>
      <c r="P47" s="12">
        <f t="shared" si="1"/>
        <v>0</v>
      </c>
      <c r="Q47" s="13">
        <f t="shared" si="1"/>
        <v>0</v>
      </c>
      <c r="R47" s="8">
        <f t="shared" si="2"/>
        <v>0</v>
      </c>
      <c r="S47" s="11">
        <f t="shared" si="2"/>
        <v>0</v>
      </c>
      <c r="T47" s="8">
        <f t="shared" si="3"/>
        <v>0</v>
      </c>
      <c r="U47" s="13">
        <f t="shared" si="4"/>
        <v>0</v>
      </c>
      <c r="V47" s="12">
        <f t="shared" si="4"/>
        <v>0</v>
      </c>
      <c r="W47" s="13">
        <f t="shared" si="5"/>
        <v>0</v>
      </c>
    </row>
    <row r="48" spans="1:23" x14ac:dyDescent="0.2">
      <c r="A48" s="25" t="s">
        <v>129</v>
      </c>
      <c r="B48" s="25" t="s">
        <v>133</v>
      </c>
      <c r="C48" s="25">
        <v>338</v>
      </c>
      <c r="D48" s="25" t="s">
        <v>55</v>
      </c>
      <c r="E48" s="25" t="s">
        <v>31</v>
      </c>
      <c r="F48" s="25">
        <v>201809</v>
      </c>
      <c r="G48" s="13">
        <v>0</v>
      </c>
      <c r="H48" s="13">
        <v>0</v>
      </c>
      <c r="I48" s="13">
        <v>0</v>
      </c>
      <c r="J48" s="12">
        <v>0</v>
      </c>
      <c r="K48" s="13">
        <v>0</v>
      </c>
      <c r="L48" s="13">
        <v>0</v>
      </c>
      <c r="M48" s="12">
        <v>0</v>
      </c>
      <c r="N48" s="13">
        <v>0</v>
      </c>
      <c r="O48" s="13">
        <f t="shared" si="0"/>
        <v>0</v>
      </c>
      <c r="P48" s="12">
        <f t="shared" si="1"/>
        <v>0</v>
      </c>
      <c r="Q48" s="13">
        <f t="shared" si="1"/>
        <v>0</v>
      </c>
      <c r="R48" s="8">
        <f t="shared" si="2"/>
        <v>0</v>
      </c>
      <c r="S48" s="11">
        <f t="shared" si="2"/>
        <v>0</v>
      </c>
      <c r="T48" s="8">
        <f t="shared" si="3"/>
        <v>0</v>
      </c>
      <c r="U48" s="13">
        <f t="shared" si="4"/>
        <v>0</v>
      </c>
      <c r="V48" s="12">
        <f t="shared" si="4"/>
        <v>0</v>
      </c>
      <c r="W48" s="13">
        <f t="shared" si="5"/>
        <v>0</v>
      </c>
    </row>
    <row r="49" spans="1:23" x14ac:dyDescent="0.2">
      <c r="A49" s="25" t="s">
        <v>129</v>
      </c>
      <c r="B49" s="25" t="s">
        <v>133</v>
      </c>
      <c r="C49" s="25">
        <v>338</v>
      </c>
      <c r="D49" s="25" t="s">
        <v>55</v>
      </c>
      <c r="E49" s="25" t="s">
        <v>31</v>
      </c>
      <c r="F49" s="25">
        <v>201810</v>
      </c>
      <c r="G49" s="13">
        <v>0</v>
      </c>
      <c r="H49" s="13">
        <v>0</v>
      </c>
      <c r="I49" s="13">
        <v>0</v>
      </c>
      <c r="J49" s="12">
        <v>0</v>
      </c>
      <c r="K49" s="13">
        <v>0</v>
      </c>
      <c r="L49" s="13">
        <v>0</v>
      </c>
      <c r="M49" s="12">
        <v>0</v>
      </c>
      <c r="N49" s="13">
        <v>0</v>
      </c>
      <c r="O49" s="13">
        <f t="shared" si="0"/>
        <v>0</v>
      </c>
      <c r="P49" s="12">
        <f t="shared" si="1"/>
        <v>0</v>
      </c>
      <c r="Q49" s="13">
        <f t="shared" si="1"/>
        <v>0</v>
      </c>
      <c r="R49" s="8">
        <f t="shared" si="2"/>
        <v>0</v>
      </c>
      <c r="S49" s="11">
        <f t="shared" si="2"/>
        <v>0</v>
      </c>
      <c r="T49" s="8">
        <f t="shared" si="3"/>
        <v>0</v>
      </c>
      <c r="U49" s="13">
        <f t="shared" si="4"/>
        <v>0</v>
      </c>
      <c r="V49" s="12">
        <f t="shared" si="4"/>
        <v>0</v>
      </c>
      <c r="W49" s="13">
        <f t="shared" si="5"/>
        <v>0</v>
      </c>
    </row>
    <row r="50" spans="1:23" x14ac:dyDescent="0.2">
      <c r="A50" s="25" t="s">
        <v>129</v>
      </c>
      <c r="B50" s="25" t="s">
        <v>133</v>
      </c>
      <c r="C50" s="25">
        <v>338</v>
      </c>
      <c r="D50" s="25" t="s">
        <v>55</v>
      </c>
      <c r="E50" s="25" t="s">
        <v>31</v>
      </c>
      <c r="F50" s="25">
        <v>201811</v>
      </c>
      <c r="G50" s="13">
        <v>0</v>
      </c>
      <c r="H50" s="13">
        <v>0</v>
      </c>
      <c r="I50" s="13">
        <v>0</v>
      </c>
      <c r="J50" s="12">
        <v>0</v>
      </c>
      <c r="K50" s="13">
        <v>0</v>
      </c>
      <c r="L50" s="13">
        <v>0</v>
      </c>
      <c r="M50" s="12">
        <v>0</v>
      </c>
      <c r="N50" s="13">
        <v>0</v>
      </c>
      <c r="O50" s="13">
        <f t="shared" si="0"/>
        <v>0</v>
      </c>
      <c r="P50" s="12">
        <f t="shared" si="1"/>
        <v>0</v>
      </c>
      <c r="Q50" s="13">
        <f t="shared" si="1"/>
        <v>0</v>
      </c>
      <c r="R50" s="8">
        <f t="shared" si="2"/>
        <v>0</v>
      </c>
      <c r="S50" s="11">
        <f t="shared" si="2"/>
        <v>0</v>
      </c>
      <c r="T50" s="8">
        <f t="shared" si="3"/>
        <v>0</v>
      </c>
      <c r="U50" s="13">
        <f t="shared" si="4"/>
        <v>0</v>
      </c>
      <c r="V50" s="12">
        <f t="shared" si="4"/>
        <v>0</v>
      </c>
      <c r="W50" s="13">
        <f t="shared" si="5"/>
        <v>0</v>
      </c>
    </row>
    <row r="51" spans="1:23" x14ac:dyDescent="0.2">
      <c r="A51" s="25" t="s">
        <v>129</v>
      </c>
      <c r="B51" s="25" t="s">
        <v>133</v>
      </c>
      <c r="C51" s="25">
        <v>338</v>
      </c>
      <c r="D51" s="25" t="s">
        <v>55</v>
      </c>
      <c r="E51" s="25" t="s">
        <v>31</v>
      </c>
      <c r="F51" s="25">
        <v>201812</v>
      </c>
      <c r="G51" s="13">
        <v>0</v>
      </c>
      <c r="H51" s="13">
        <v>0</v>
      </c>
      <c r="I51" s="13">
        <v>0</v>
      </c>
      <c r="J51" s="12">
        <v>0</v>
      </c>
      <c r="K51" s="13">
        <v>0</v>
      </c>
      <c r="L51" s="13">
        <v>0</v>
      </c>
      <c r="M51" s="12">
        <v>0</v>
      </c>
      <c r="N51" s="13">
        <v>0</v>
      </c>
      <c r="O51" s="13">
        <f t="shared" si="0"/>
        <v>0</v>
      </c>
      <c r="P51" s="12">
        <f t="shared" si="1"/>
        <v>0</v>
      </c>
      <c r="Q51" s="13">
        <f t="shared" si="1"/>
        <v>0</v>
      </c>
      <c r="R51" s="8">
        <f t="shared" si="2"/>
        <v>0</v>
      </c>
      <c r="S51" s="11">
        <f t="shared" si="2"/>
        <v>0</v>
      </c>
      <c r="T51" s="8">
        <f t="shared" si="3"/>
        <v>0</v>
      </c>
      <c r="U51" s="13">
        <f t="shared" si="4"/>
        <v>0</v>
      </c>
      <c r="V51" s="12">
        <f t="shared" si="4"/>
        <v>0</v>
      </c>
      <c r="W51" s="13">
        <f t="shared" si="5"/>
        <v>0</v>
      </c>
    </row>
    <row r="52" spans="1:23" x14ac:dyDescent="0.2">
      <c r="A52" s="25" t="s">
        <v>129</v>
      </c>
      <c r="B52" s="25" t="s">
        <v>134</v>
      </c>
      <c r="C52" s="25">
        <v>331</v>
      </c>
      <c r="D52" s="25" t="s">
        <v>54</v>
      </c>
      <c r="E52" s="25" t="s">
        <v>31</v>
      </c>
      <c r="F52" s="25">
        <v>201807</v>
      </c>
      <c r="G52" s="13">
        <v>0</v>
      </c>
      <c r="H52" s="13">
        <v>0</v>
      </c>
      <c r="I52" s="13">
        <v>0</v>
      </c>
      <c r="J52" s="12">
        <v>0</v>
      </c>
      <c r="K52" s="13">
        <v>0</v>
      </c>
      <c r="L52" s="13">
        <v>0</v>
      </c>
      <c r="M52" s="12">
        <v>0</v>
      </c>
      <c r="N52" s="13">
        <v>0</v>
      </c>
      <c r="O52" s="13">
        <f t="shared" si="0"/>
        <v>0</v>
      </c>
      <c r="P52" s="12">
        <f t="shared" si="1"/>
        <v>0</v>
      </c>
      <c r="Q52" s="13">
        <f t="shared" si="1"/>
        <v>0</v>
      </c>
      <c r="R52" s="8">
        <f t="shared" si="2"/>
        <v>0</v>
      </c>
      <c r="S52" s="11">
        <f t="shared" si="2"/>
        <v>0</v>
      </c>
      <c r="T52" s="8">
        <f t="shared" si="3"/>
        <v>0</v>
      </c>
      <c r="U52" s="13">
        <f t="shared" si="4"/>
        <v>0</v>
      </c>
      <c r="V52" s="12">
        <f t="shared" si="4"/>
        <v>0</v>
      </c>
      <c r="W52" s="13">
        <f t="shared" si="5"/>
        <v>0</v>
      </c>
    </row>
    <row r="53" spans="1:23" x14ac:dyDescent="0.2">
      <c r="A53" s="25" t="s">
        <v>129</v>
      </c>
      <c r="B53" s="25" t="s">
        <v>134</v>
      </c>
      <c r="C53" s="25">
        <v>331</v>
      </c>
      <c r="D53" s="25" t="s">
        <v>54</v>
      </c>
      <c r="E53" s="25" t="s">
        <v>31</v>
      </c>
      <c r="F53" s="25">
        <v>201808</v>
      </c>
      <c r="G53" s="13">
        <v>0</v>
      </c>
      <c r="H53" s="13">
        <v>0</v>
      </c>
      <c r="I53" s="13">
        <v>0</v>
      </c>
      <c r="J53" s="12">
        <v>0</v>
      </c>
      <c r="K53" s="13">
        <v>0</v>
      </c>
      <c r="L53" s="13">
        <v>0</v>
      </c>
      <c r="M53" s="12">
        <v>0</v>
      </c>
      <c r="N53" s="13">
        <v>0</v>
      </c>
      <c r="O53" s="13">
        <f t="shared" si="0"/>
        <v>0</v>
      </c>
      <c r="P53" s="12">
        <f t="shared" si="1"/>
        <v>0</v>
      </c>
      <c r="Q53" s="13">
        <f t="shared" si="1"/>
        <v>0</v>
      </c>
      <c r="R53" s="8">
        <f t="shared" si="2"/>
        <v>0</v>
      </c>
      <c r="S53" s="11">
        <f t="shared" si="2"/>
        <v>0</v>
      </c>
      <c r="T53" s="8">
        <f t="shared" si="3"/>
        <v>0</v>
      </c>
      <c r="U53" s="13">
        <f t="shared" si="4"/>
        <v>0</v>
      </c>
      <c r="V53" s="12">
        <f t="shared" si="4"/>
        <v>0</v>
      </c>
      <c r="W53" s="13">
        <f t="shared" si="5"/>
        <v>0</v>
      </c>
    </row>
    <row r="54" spans="1:23" x14ac:dyDescent="0.2">
      <c r="A54" s="25" t="s">
        <v>129</v>
      </c>
      <c r="B54" s="25" t="s">
        <v>134</v>
      </c>
      <c r="C54" s="25">
        <v>331</v>
      </c>
      <c r="D54" s="25" t="s">
        <v>54</v>
      </c>
      <c r="E54" s="25" t="s">
        <v>31</v>
      </c>
      <c r="F54" s="25">
        <v>201809</v>
      </c>
      <c r="G54" s="13">
        <v>0</v>
      </c>
      <c r="H54" s="13">
        <v>0</v>
      </c>
      <c r="I54" s="13">
        <v>0</v>
      </c>
      <c r="J54" s="12">
        <v>0</v>
      </c>
      <c r="K54" s="13">
        <v>0</v>
      </c>
      <c r="L54" s="13">
        <v>0</v>
      </c>
      <c r="M54" s="12">
        <v>0</v>
      </c>
      <c r="N54" s="13">
        <v>0</v>
      </c>
      <c r="O54" s="13">
        <f t="shared" si="0"/>
        <v>0</v>
      </c>
      <c r="P54" s="12">
        <f t="shared" si="1"/>
        <v>0</v>
      </c>
      <c r="Q54" s="13">
        <f t="shared" si="1"/>
        <v>0</v>
      </c>
      <c r="R54" s="8">
        <f t="shared" si="2"/>
        <v>0</v>
      </c>
      <c r="S54" s="11">
        <f t="shared" si="2"/>
        <v>0</v>
      </c>
      <c r="T54" s="8">
        <f t="shared" si="3"/>
        <v>0</v>
      </c>
      <c r="U54" s="13">
        <f t="shared" si="4"/>
        <v>0</v>
      </c>
      <c r="V54" s="12">
        <f t="shared" si="4"/>
        <v>0</v>
      </c>
      <c r="W54" s="13">
        <f t="shared" si="5"/>
        <v>0</v>
      </c>
    </row>
    <row r="55" spans="1:23" x14ac:dyDescent="0.2">
      <c r="A55" s="25" t="s">
        <v>129</v>
      </c>
      <c r="B55" s="25" t="s">
        <v>134</v>
      </c>
      <c r="C55" s="25">
        <v>331</v>
      </c>
      <c r="D55" s="25" t="s">
        <v>54</v>
      </c>
      <c r="E55" s="25" t="s">
        <v>31</v>
      </c>
      <c r="F55" s="25">
        <v>201810</v>
      </c>
      <c r="G55" s="13">
        <v>0</v>
      </c>
      <c r="H55" s="13">
        <v>0</v>
      </c>
      <c r="I55" s="13">
        <v>0</v>
      </c>
      <c r="J55" s="12">
        <v>0</v>
      </c>
      <c r="K55" s="13">
        <v>0</v>
      </c>
      <c r="L55" s="13">
        <v>0</v>
      </c>
      <c r="M55" s="12">
        <v>0</v>
      </c>
      <c r="N55" s="13">
        <v>0</v>
      </c>
      <c r="O55" s="13">
        <f t="shared" si="0"/>
        <v>0</v>
      </c>
      <c r="P55" s="12">
        <f t="shared" si="1"/>
        <v>0</v>
      </c>
      <c r="Q55" s="13">
        <f t="shared" si="1"/>
        <v>0</v>
      </c>
      <c r="R55" s="8">
        <f t="shared" si="2"/>
        <v>0</v>
      </c>
      <c r="S55" s="11">
        <f t="shared" si="2"/>
        <v>0</v>
      </c>
      <c r="T55" s="8">
        <f t="shared" si="3"/>
        <v>0</v>
      </c>
      <c r="U55" s="13">
        <f t="shared" si="4"/>
        <v>0</v>
      </c>
      <c r="V55" s="12">
        <f t="shared" si="4"/>
        <v>0</v>
      </c>
      <c r="W55" s="13">
        <f t="shared" si="5"/>
        <v>0</v>
      </c>
    </row>
    <row r="56" spans="1:23" x14ac:dyDescent="0.2">
      <c r="A56" s="25" t="s">
        <v>129</v>
      </c>
      <c r="B56" s="25" t="s">
        <v>134</v>
      </c>
      <c r="C56" s="25">
        <v>331</v>
      </c>
      <c r="D56" s="25" t="s">
        <v>54</v>
      </c>
      <c r="E56" s="25" t="s">
        <v>31</v>
      </c>
      <c r="F56" s="25">
        <v>201811</v>
      </c>
      <c r="G56" s="13">
        <v>0</v>
      </c>
      <c r="H56" s="13">
        <v>0</v>
      </c>
      <c r="I56" s="13">
        <v>0</v>
      </c>
      <c r="J56" s="12">
        <v>0</v>
      </c>
      <c r="K56" s="13">
        <v>0</v>
      </c>
      <c r="L56" s="13">
        <v>0</v>
      </c>
      <c r="M56" s="12">
        <v>0</v>
      </c>
      <c r="N56" s="13">
        <v>0</v>
      </c>
      <c r="O56" s="13">
        <f t="shared" si="0"/>
        <v>0</v>
      </c>
      <c r="P56" s="12">
        <f t="shared" si="1"/>
        <v>0</v>
      </c>
      <c r="Q56" s="13">
        <f t="shared" si="1"/>
        <v>0</v>
      </c>
      <c r="R56" s="8">
        <f t="shared" si="2"/>
        <v>0</v>
      </c>
      <c r="S56" s="11">
        <f t="shared" si="2"/>
        <v>0</v>
      </c>
      <c r="T56" s="8">
        <f t="shared" si="3"/>
        <v>0</v>
      </c>
      <c r="U56" s="13">
        <f t="shared" si="4"/>
        <v>0</v>
      </c>
      <c r="V56" s="12">
        <f t="shared" si="4"/>
        <v>0</v>
      </c>
      <c r="W56" s="13">
        <f t="shared" si="5"/>
        <v>0</v>
      </c>
    </row>
    <row r="57" spans="1:23" x14ac:dyDescent="0.2">
      <c r="A57" s="25" t="s">
        <v>129</v>
      </c>
      <c r="B57" s="25" t="s">
        <v>134</v>
      </c>
      <c r="C57" s="25">
        <v>331</v>
      </c>
      <c r="D57" s="25" t="s">
        <v>54</v>
      </c>
      <c r="E57" s="25" t="s">
        <v>31</v>
      </c>
      <c r="F57" s="25">
        <v>201812</v>
      </c>
      <c r="G57" s="13">
        <v>0</v>
      </c>
      <c r="H57" s="13">
        <v>0</v>
      </c>
      <c r="I57" s="13">
        <v>0</v>
      </c>
      <c r="J57" s="12">
        <v>0</v>
      </c>
      <c r="K57" s="13">
        <v>0</v>
      </c>
      <c r="L57" s="13">
        <v>0</v>
      </c>
      <c r="M57" s="12">
        <v>0</v>
      </c>
      <c r="N57" s="13">
        <v>0</v>
      </c>
      <c r="O57" s="13">
        <f t="shared" si="0"/>
        <v>0</v>
      </c>
      <c r="P57" s="12">
        <f t="shared" si="1"/>
        <v>0</v>
      </c>
      <c r="Q57" s="13">
        <f t="shared" si="1"/>
        <v>0</v>
      </c>
      <c r="R57" s="8">
        <f t="shared" si="2"/>
        <v>0</v>
      </c>
      <c r="S57" s="11">
        <f t="shared" si="2"/>
        <v>0</v>
      </c>
      <c r="T57" s="8">
        <f t="shared" si="3"/>
        <v>0</v>
      </c>
      <c r="U57" s="13">
        <f t="shared" si="4"/>
        <v>0</v>
      </c>
      <c r="V57" s="12">
        <f t="shared" si="4"/>
        <v>0</v>
      </c>
      <c r="W57" s="13">
        <f t="shared" si="5"/>
        <v>0</v>
      </c>
    </row>
    <row r="58" spans="1:23" x14ac:dyDescent="0.2">
      <c r="A58" s="25" t="s">
        <v>129</v>
      </c>
      <c r="B58" s="25" t="s">
        <v>134</v>
      </c>
      <c r="C58" s="25">
        <v>331</v>
      </c>
      <c r="D58" s="25" t="s">
        <v>55</v>
      </c>
      <c r="E58" s="25" t="s">
        <v>31</v>
      </c>
      <c r="F58" s="25">
        <v>201807</v>
      </c>
      <c r="G58" s="13">
        <v>0</v>
      </c>
      <c r="H58" s="13">
        <v>0</v>
      </c>
      <c r="I58" s="13">
        <v>0</v>
      </c>
      <c r="J58" s="12">
        <v>0</v>
      </c>
      <c r="K58" s="13">
        <v>0</v>
      </c>
      <c r="L58" s="13">
        <v>0</v>
      </c>
      <c r="M58" s="12">
        <v>0</v>
      </c>
      <c r="N58" s="13">
        <v>0</v>
      </c>
      <c r="O58" s="13">
        <f t="shared" si="0"/>
        <v>0</v>
      </c>
      <c r="P58" s="12">
        <f t="shared" si="1"/>
        <v>0</v>
      </c>
      <c r="Q58" s="13">
        <f t="shared" si="1"/>
        <v>0</v>
      </c>
      <c r="R58" s="8">
        <f t="shared" si="2"/>
        <v>0</v>
      </c>
      <c r="S58" s="11">
        <f t="shared" si="2"/>
        <v>0</v>
      </c>
      <c r="T58" s="8">
        <f t="shared" si="3"/>
        <v>0</v>
      </c>
      <c r="U58" s="13">
        <f t="shared" si="4"/>
        <v>0</v>
      </c>
      <c r="V58" s="12">
        <f t="shared" si="4"/>
        <v>0</v>
      </c>
      <c r="W58" s="13">
        <f t="shared" si="5"/>
        <v>0</v>
      </c>
    </row>
    <row r="59" spans="1:23" x14ac:dyDescent="0.2">
      <c r="A59" s="25" t="s">
        <v>129</v>
      </c>
      <c r="B59" s="25" t="s">
        <v>134</v>
      </c>
      <c r="C59" s="25">
        <v>331</v>
      </c>
      <c r="D59" s="25" t="s">
        <v>55</v>
      </c>
      <c r="E59" s="25" t="s">
        <v>31</v>
      </c>
      <c r="F59" s="25">
        <v>201808</v>
      </c>
      <c r="G59" s="13">
        <v>0</v>
      </c>
      <c r="H59" s="13">
        <v>0</v>
      </c>
      <c r="I59" s="13">
        <v>0</v>
      </c>
      <c r="J59" s="12">
        <v>0</v>
      </c>
      <c r="K59" s="13">
        <v>0</v>
      </c>
      <c r="L59" s="13">
        <v>0</v>
      </c>
      <c r="M59" s="12">
        <v>0</v>
      </c>
      <c r="N59" s="13">
        <v>0</v>
      </c>
      <c r="O59" s="13">
        <f t="shared" si="0"/>
        <v>0</v>
      </c>
      <c r="P59" s="12">
        <f t="shared" si="1"/>
        <v>0</v>
      </c>
      <c r="Q59" s="13">
        <f t="shared" si="1"/>
        <v>0</v>
      </c>
      <c r="R59" s="8">
        <f t="shared" si="2"/>
        <v>0</v>
      </c>
      <c r="S59" s="11">
        <f t="shared" si="2"/>
        <v>0</v>
      </c>
      <c r="T59" s="8">
        <f t="shared" si="3"/>
        <v>0</v>
      </c>
      <c r="U59" s="13">
        <f t="shared" si="4"/>
        <v>0</v>
      </c>
      <c r="V59" s="12">
        <f t="shared" si="4"/>
        <v>0</v>
      </c>
      <c r="W59" s="13">
        <f t="shared" si="5"/>
        <v>0</v>
      </c>
    </row>
    <row r="60" spans="1:23" x14ac:dyDescent="0.2">
      <c r="A60" s="25" t="s">
        <v>129</v>
      </c>
      <c r="B60" s="25" t="s">
        <v>134</v>
      </c>
      <c r="C60" s="25">
        <v>331</v>
      </c>
      <c r="D60" s="25" t="s">
        <v>55</v>
      </c>
      <c r="E60" s="25" t="s">
        <v>31</v>
      </c>
      <c r="F60" s="25">
        <v>201809</v>
      </c>
      <c r="G60" s="13">
        <v>0</v>
      </c>
      <c r="H60" s="13">
        <v>0</v>
      </c>
      <c r="I60" s="13">
        <v>0</v>
      </c>
      <c r="J60" s="12">
        <v>0</v>
      </c>
      <c r="K60" s="13">
        <v>0</v>
      </c>
      <c r="L60" s="13">
        <v>0</v>
      </c>
      <c r="M60" s="12">
        <v>0</v>
      </c>
      <c r="N60" s="13">
        <v>0</v>
      </c>
      <c r="O60" s="13">
        <f t="shared" si="0"/>
        <v>0</v>
      </c>
      <c r="P60" s="12">
        <f t="shared" si="1"/>
        <v>0</v>
      </c>
      <c r="Q60" s="13">
        <f t="shared" si="1"/>
        <v>0</v>
      </c>
      <c r="R60" s="8">
        <f t="shared" si="2"/>
        <v>0</v>
      </c>
      <c r="S60" s="11">
        <f t="shared" si="2"/>
        <v>0</v>
      </c>
      <c r="T60" s="8">
        <f t="shared" si="3"/>
        <v>0</v>
      </c>
      <c r="U60" s="13">
        <f t="shared" si="4"/>
        <v>0</v>
      </c>
      <c r="V60" s="12">
        <f t="shared" si="4"/>
        <v>0</v>
      </c>
      <c r="W60" s="13">
        <f t="shared" si="5"/>
        <v>0</v>
      </c>
    </row>
    <row r="61" spans="1:23" x14ac:dyDescent="0.2">
      <c r="A61" s="25" t="s">
        <v>129</v>
      </c>
      <c r="B61" s="25" t="s">
        <v>134</v>
      </c>
      <c r="C61" s="25">
        <v>331</v>
      </c>
      <c r="D61" s="25" t="s">
        <v>55</v>
      </c>
      <c r="E61" s="25" t="s">
        <v>31</v>
      </c>
      <c r="F61" s="25">
        <v>201810</v>
      </c>
      <c r="G61" s="13">
        <v>0</v>
      </c>
      <c r="H61" s="13">
        <v>0</v>
      </c>
      <c r="I61" s="13">
        <v>0</v>
      </c>
      <c r="J61" s="12">
        <v>0</v>
      </c>
      <c r="K61" s="13">
        <v>0</v>
      </c>
      <c r="L61" s="13">
        <v>0</v>
      </c>
      <c r="M61" s="12">
        <v>0</v>
      </c>
      <c r="N61" s="13">
        <v>0</v>
      </c>
      <c r="O61" s="13">
        <f t="shared" si="0"/>
        <v>0</v>
      </c>
      <c r="P61" s="12">
        <f t="shared" si="1"/>
        <v>0</v>
      </c>
      <c r="Q61" s="13">
        <f t="shared" si="1"/>
        <v>0</v>
      </c>
      <c r="R61" s="8">
        <f t="shared" si="2"/>
        <v>0</v>
      </c>
      <c r="S61" s="11">
        <f t="shared" si="2"/>
        <v>0</v>
      </c>
      <c r="T61" s="8">
        <f t="shared" si="3"/>
        <v>0</v>
      </c>
      <c r="U61" s="13">
        <f t="shared" si="4"/>
        <v>0</v>
      </c>
      <c r="V61" s="12">
        <f t="shared" si="4"/>
        <v>0</v>
      </c>
      <c r="W61" s="13">
        <f t="shared" si="5"/>
        <v>0</v>
      </c>
    </row>
    <row r="62" spans="1:23" x14ac:dyDescent="0.2">
      <c r="A62" s="25" t="s">
        <v>129</v>
      </c>
      <c r="B62" s="25" t="s">
        <v>134</v>
      </c>
      <c r="C62" s="25">
        <v>331</v>
      </c>
      <c r="D62" s="25" t="s">
        <v>55</v>
      </c>
      <c r="E62" s="25" t="s">
        <v>31</v>
      </c>
      <c r="F62" s="25">
        <v>201811</v>
      </c>
      <c r="G62" s="13">
        <v>0</v>
      </c>
      <c r="H62" s="13">
        <v>0</v>
      </c>
      <c r="I62" s="13">
        <v>0</v>
      </c>
      <c r="J62" s="12">
        <v>0</v>
      </c>
      <c r="K62" s="13">
        <v>0</v>
      </c>
      <c r="L62" s="13">
        <v>0</v>
      </c>
      <c r="M62" s="12">
        <v>0</v>
      </c>
      <c r="N62" s="13">
        <v>0</v>
      </c>
      <c r="O62" s="13">
        <f t="shared" si="0"/>
        <v>0</v>
      </c>
      <c r="P62" s="12">
        <f t="shared" si="1"/>
        <v>0</v>
      </c>
      <c r="Q62" s="13">
        <f t="shared" si="1"/>
        <v>0</v>
      </c>
      <c r="R62" s="8">
        <f t="shared" si="2"/>
        <v>0</v>
      </c>
      <c r="S62" s="11">
        <f t="shared" si="2"/>
        <v>0</v>
      </c>
      <c r="T62" s="8">
        <f t="shared" si="3"/>
        <v>0</v>
      </c>
      <c r="U62" s="13">
        <f t="shared" si="4"/>
        <v>0</v>
      </c>
      <c r="V62" s="12">
        <f t="shared" si="4"/>
        <v>0</v>
      </c>
      <c r="W62" s="13">
        <f t="shared" si="5"/>
        <v>0</v>
      </c>
    </row>
    <row r="63" spans="1:23" x14ac:dyDescent="0.2">
      <c r="A63" s="25" t="s">
        <v>129</v>
      </c>
      <c r="B63" s="25" t="s">
        <v>134</v>
      </c>
      <c r="C63" s="25">
        <v>331</v>
      </c>
      <c r="D63" s="25" t="s">
        <v>55</v>
      </c>
      <c r="E63" s="25" t="s">
        <v>31</v>
      </c>
      <c r="F63" s="25">
        <v>201812</v>
      </c>
      <c r="G63" s="13">
        <v>0</v>
      </c>
      <c r="H63" s="13">
        <v>0</v>
      </c>
      <c r="I63" s="13">
        <v>0</v>
      </c>
      <c r="J63" s="12">
        <v>0</v>
      </c>
      <c r="K63" s="13">
        <v>0</v>
      </c>
      <c r="L63" s="13">
        <v>0</v>
      </c>
      <c r="M63" s="12">
        <v>0</v>
      </c>
      <c r="N63" s="13">
        <v>0</v>
      </c>
      <c r="O63" s="13">
        <f t="shared" si="0"/>
        <v>0</v>
      </c>
      <c r="P63" s="12">
        <f t="shared" si="1"/>
        <v>0</v>
      </c>
      <c r="Q63" s="13">
        <f t="shared" si="1"/>
        <v>0</v>
      </c>
      <c r="R63" s="8">
        <f t="shared" si="2"/>
        <v>0</v>
      </c>
      <c r="S63" s="11">
        <f t="shared" si="2"/>
        <v>0</v>
      </c>
      <c r="T63" s="8">
        <f t="shared" si="3"/>
        <v>0</v>
      </c>
      <c r="U63" s="13">
        <f t="shared" si="4"/>
        <v>0</v>
      </c>
      <c r="V63" s="12">
        <f t="shared" si="4"/>
        <v>0</v>
      </c>
      <c r="W63" s="13">
        <f t="shared" si="5"/>
        <v>0</v>
      </c>
    </row>
    <row r="64" spans="1:23" x14ac:dyDescent="0.2">
      <c r="A64" s="25" t="s">
        <v>129</v>
      </c>
      <c r="B64" s="25" t="s">
        <v>135</v>
      </c>
      <c r="C64" s="25">
        <v>334</v>
      </c>
      <c r="D64" s="25" t="s">
        <v>54</v>
      </c>
      <c r="E64" s="25" t="s">
        <v>31</v>
      </c>
      <c r="F64" s="25">
        <v>201807</v>
      </c>
      <c r="G64" s="13">
        <v>0</v>
      </c>
      <c r="H64" s="13">
        <v>0</v>
      </c>
      <c r="I64" s="13">
        <v>0</v>
      </c>
      <c r="J64" s="12">
        <v>0</v>
      </c>
      <c r="K64" s="13">
        <v>0</v>
      </c>
      <c r="L64" s="13">
        <v>0</v>
      </c>
      <c r="M64" s="12">
        <v>0</v>
      </c>
      <c r="N64" s="13">
        <v>0</v>
      </c>
      <c r="O64" s="13">
        <f t="shared" si="0"/>
        <v>0</v>
      </c>
      <c r="P64" s="12">
        <f t="shared" si="1"/>
        <v>0</v>
      </c>
      <c r="Q64" s="13">
        <f t="shared" si="1"/>
        <v>0</v>
      </c>
      <c r="R64" s="8">
        <f t="shared" si="2"/>
        <v>0</v>
      </c>
      <c r="S64" s="11">
        <f t="shared" si="2"/>
        <v>0</v>
      </c>
      <c r="T64" s="8">
        <f t="shared" si="3"/>
        <v>0</v>
      </c>
      <c r="U64" s="13">
        <f t="shared" si="4"/>
        <v>0</v>
      </c>
      <c r="V64" s="12">
        <f t="shared" si="4"/>
        <v>0</v>
      </c>
      <c r="W64" s="13">
        <f t="shared" si="5"/>
        <v>0</v>
      </c>
    </row>
    <row r="65" spans="1:23" x14ac:dyDescent="0.2">
      <c r="A65" s="25" t="s">
        <v>129</v>
      </c>
      <c r="B65" s="25" t="s">
        <v>135</v>
      </c>
      <c r="C65" s="25">
        <v>334</v>
      </c>
      <c r="D65" s="25" t="s">
        <v>54</v>
      </c>
      <c r="E65" s="25" t="s">
        <v>31</v>
      </c>
      <c r="F65" s="25">
        <v>201808</v>
      </c>
      <c r="G65" s="13">
        <v>0</v>
      </c>
      <c r="H65" s="13">
        <v>0</v>
      </c>
      <c r="I65" s="13">
        <v>0</v>
      </c>
      <c r="J65" s="12">
        <v>0</v>
      </c>
      <c r="K65" s="13">
        <v>0</v>
      </c>
      <c r="L65" s="13">
        <v>0</v>
      </c>
      <c r="M65" s="12">
        <v>0</v>
      </c>
      <c r="N65" s="13">
        <v>0</v>
      </c>
      <c r="O65" s="13">
        <f t="shared" si="0"/>
        <v>0</v>
      </c>
      <c r="P65" s="12">
        <f t="shared" si="1"/>
        <v>0</v>
      </c>
      <c r="Q65" s="13">
        <f t="shared" si="1"/>
        <v>0</v>
      </c>
      <c r="R65" s="8">
        <f t="shared" si="2"/>
        <v>0</v>
      </c>
      <c r="S65" s="11">
        <f t="shared" si="2"/>
        <v>0</v>
      </c>
      <c r="T65" s="8">
        <f t="shared" si="3"/>
        <v>0</v>
      </c>
      <c r="U65" s="13">
        <f t="shared" si="4"/>
        <v>0</v>
      </c>
      <c r="V65" s="12">
        <f t="shared" si="4"/>
        <v>0</v>
      </c>
      <c r="W65" s="13">
        <f t="shared" si="5"/>
        <v>0</v>
      </c>
    </row>
    <row r="66" spans="1:23" x14ac:dyDescent="0.2">
      <c r="A66" s="25" t="s">
        <v>129</v>
      </c>
      <c r="B66" s="25" t="s">
        <v>135</v>
      </c>
      <c r="C66" s="25">
        <v>334</v>
      </c>
      <c r="D66" s="25" t="s">
        <v>54</v>
      </c>
      <c r="E66" s="25" t="s">
        <v>31</v>
      </c>
      <c r="F66" s="25">
        <v>201809</v>
      </c>
      <c r="G66" s="13">
        <v>0</v>
      </c>
      <c r="H66" s="13">
        <v>0</v>
      </c>
      <c r="I66" s="13">
        <v>0</v>
      </c>
      <c r="J66" s="12">
        <v>0</v>
      </c>
      <c r="K66" s="13">
        <v>0</v>
      </c>
      <c r="L66" s="13">
        <v>0</v>
      </c>
      <c r="M66" s="12">
        <v>0</v>
      </c>
      <c r="N66" s="13">
        <v>0</v>
      </c>
      <c r="O66" s="13">
        <f t="shared" si="0"/>
        <v>0</v>
      </c>
      <c r="P66" s="12">
        <f t="shared" si="1"/>
        <v>0</v>
      </c>
      <c r="Q66" s="13">
        <f t="shared" si="1"/>
        <v>0</v>
      </c>
      <c r="R66" s="8">
        <f t="shared" si="2"/>
        <v>0</v>
      </c>
      <c r="S66" s="11">
        <f t="shared" si="2"/>
        <v>0</v>
      </c>
      <c r="T66" s="8">
        <f t="shared" si="3"/>
        <v>0</v>
      </c>
      <c r="U66" s="13">
        <f t="shared" si="4"/>
        <v>0</v>
      </c>
      <c r="V66" s="12">
        <f t="shared" si="4"/>
        <v>0</v>
      </c>
      <c r="W66" s="13">
        <f t="shared" si="5"/>
        <v>0</v>
      </c>
    </row>
    <row r="67" spans="1:23" x14ac:dyDescent="0.2">
      <c r="A67" s="25" t="s">
        <v>129</v>
      </c>
      <c r="B67" s="25" t="s">
        <v>135</v>
      </c>
      <c r="C67" s="25">
        <v>334</v>
      </c>
      <c r="D67" s="25" t="s">
        <v>54</v>
      </c>
      <c r="E67" s="25" t="s">
        <v>31</v>
      </c>
      <c r="F67" s="25">
        <v>201810</v>
      </c>
      <c r="G67" s="13">
        <v>0</v>
      </c>
      <c r="H67" s="13">
        <v>0</v>
      </c>
      <c r="I67" s="13">
        <v>0</v>
      </c>
      <c r="J67" s="12">
        <v>0</v>
      </c>
      <c r="K67" s="13">
        <v>0</v>
      </c>
      <c r="L67" s="13">
        <v>0</v>
      </c>
      <c r="M67" s="12">
        <v>0</v>
      </c>
      <c r="N67" s="13">
        <v>0</v>
      </c>
      <c r="O67" s="13">
        <f t="shared" si="0"/>
        <v>0</v>
      </c>
      <c r="P67" s="12">
        <f t="shared" si="1"/>
        <v>0</v>
      </c>
      <c r="Q67" s="13">
        <f t="shared" si="1"/>
        <v>0</v>
      </c>
      <c r="R67" s="8">
        <f t="shared" si="2"/>
        <v>0</v>
      </c>
      <c r="S67" s="11">
        <f t="shared" si="2"/>
        <v>0</v>
      </c>
      <c r="T67" s="8">
        <f t="shared" si="3"/>
        <v>0</v>
      </c>
      <c r="U67" s="13">
        <f t="shared" si="4"/>
        <v>0</v>
      </c>
      <c r="V67" s="12">
        <f t="shared" si="4"/>
        <v>0</v>
      </c>
      <c r="W67" s="13">
        <f t="shared" si="5"/>
        <v>0</v>
      </c>
    </row>
    <row r="68" spans="1:23" x14ac:dyDescent="0.2">
      <c r="A68" s="25" t="s">
        <v>129</v>
      </c>
      <c r="B68" s="25" t="s">
        <v>135</v>
      </c>
      <c r="C68" s="25">
        <v>334</v>
      </c>
      <c r="D68" s="25" t="s">
        <v>54</v>
      </c>
      <c r="E68" s="25" t="s">
        <v>31</v>
      </c>
      <c r="F68" s="25">
        <v>201811</v>
      </c>
      <c r="G68" s="13">
        <v>0</v>
      </c>
      <c r="H68" s="13">
        <v>0</v>
      </c>
      <c r="I68" s="13">
        <v>0</v>
      </c>
      <c r="J68" s="12">
        <v>0</v>
      </c>
      <c r="K68" s="13">
        <v>0</v>
      </c>
      <c r="L68" s="13">
        <v>0</v>
      </c>
      <c r="M68" s="12">
        <v>0</v>
      </c>
      <c r="N68" s="13">
        <v>0</v>
      </c>
      <c r="O68" s="13">
        <f t="shared" ref="O68:O131" si="6">G68</f>
        <v>0</v>
      </c>
      <c r="P68" s="12">
        <f t="shared" ref="P68:Q131" si="7">J68</f>
        <v>0</v>
      </c>
      <c r="Q68" s="13">
        <f t="shared" si="7"/>
        <v>0</v>
      </c>
      <c r="R68" s="8">
        <f t="shared" ref="R68:S131" si="8">O68</f>
        <v>0</v>
      </c>
      <c r="S68" s="11">
        <f t="shared" si="8"/>
        <v>0</v>
      </c>
      <c r="T68" s="8">
        <f t="shared" ref="T68:T131" si="9">R68*S68</f>
        <v>0</v>
      </c>
      <c r="U68" s="13">
        <f t="shared" ref="U68:V131" si="10">R68</f>
        <v>0</v>
      </c>
      <c r="V68" s="12">
        <f t="shared" si="10"/>
        <v>0</v>
      </c>
      <c r="W68" s="13">
        <f t="shared" si="5"/>
        <v>0</v>
      </c>
    </row>
    <row r="69" spans="1:23" x14ac:dyDescent="0.2">
      <c r="A69" s="25" t="s">
        <v>129</v>
      </c>
      <c r="B69" s="25" t="s">
        <v>135</v>
      </c>
      <c r="C69" s="25">
        <v>334</v>
      </c>
      <c r="D69" s="25" t="s">
        <v>54</v>
      </c>
      <c r="E69" s="25" t="s">
        <v>31</v>
      </c>
      <c r="F69" s="25">
        <v>201812</v>
      </c>
      <c r="G69" s="13">
        <v>0</v>
      </c>
      <c r="H69" s="13">
        <v>0</v>
      </c>
      <c r="I69" s="13">
        <v>0</v>
      </c>
      <c r="J69" s="12">
        <v>0</v>
      </c>
      <c r="K69" s="13">
        <v>0</v>
      </c>
      <c r="L69" s="13">
        <v>0</v>
      </c>
      <c r="M69" s="12">
        <v>0</v>
      </c>
      <c r="N69" s="13">
        <v>0</v>
      </c>
      <c r="O69" s="13">
        <f t="shared" si="6"/>
        <v>0</v>
      </c>
      <c r="P69" s="12">
        <f t="shared" si="7"/>
        <v>0</v>
      </c>
      <c r="Q69" s="13">
        <f t="shared" si="7"/>
        <v>0</v>
      </c>
      <c r="R69" s="8">
        <f t="shared" si="8"/>
        <v>0</v>
      </c>
      <c r="S69" s="11">
        <f t="shared" si="8"/>
        <v>0</v>
      </c>
      <c r="T69" s="8">
        <f t="shared" si="9"/>
        <v>0</v>
      </c>
      <c r="U69" s="13">
        <f t="shared" si="10"/>
        <v>0</v>
      </c>
      <c r="V69" s="12">
        <f t="shared" si="10"/>
        <v>0</v>
      </c>
      <c r="W69" s="13">
        <f t="shared" ref="W69:W132" si="11">ROUND(T69,0)</f>
        <v>0</v>
      </c>
    </row>
    <row r="70" spans="1:23" x14ac:dyDescent="0.2">
      <c r="A70" s="25" t="s">
        <v>129</v>
      </c>
      <c r="B70" s="25" t="s">
        <v>135</v>
      </c>
      <c r="C70" s="25">
        <v>334</v>
      </c>
      <c r="D70" s="25" t="s">
        <v>55</v>
      </c>
      <c r="E70" s="25" t="s">
        <v>31</v>
      </c>
      <c r="F70" s="25">
        <v>201807</v>
      </c>
      <c r="G70" s="13">
        <v>0</v>
      </c>
      <c r="H70" s="13">
        <v>0</v>
      </c>
      <c r="I70" s="13">
        <v>0</v>
      </c>
      <c r="J70" s="12">
        <v>0</v>
      </c>
      <c r="K70" s="13">
        <v>0</v>
      </c>
      <c r="L70" s="13">
        <v>0</v>
      </c>
      <c r="M70" s="12">
        <v>0</v>
      </c>
      <c r="N70" s="13">
        <v>0</v>
      </c>
      <c r="O70" s="13">
        <f t="shared" si="6"/>
        <v>0</v>
      </c>
      <c r="P70" s="12">
        <f t="shared" si="7"/>
        <v>0</v>
      </c>
      <c r="Q70" s="13">
        <f t="shared" si="7"/>
        <v>0</v>
      </c>
      <c r="R70" s="8">
        <f t="shared" si="8"/>
        <v>0</v>
      </c>
      <c r="S70" s="11">
        <f t="shared" si="8"/>
        <v>0</v>
      </c>
      <c r="T70" s="8">
        <f t="shared" si="9"/>
        <v>0</v>
      </c>
      <c r="U70" s="13">
        <f t="shared" si="10"/>
        <v>0</v>
      </c>
      <c r="V70" s="12">
        <f t="shared" si="10"/>
        <v>0</v>
      </c>
      <c r="W70" s="13">
        <f t="shared" si="11"/>
        <v>0</v>
      </c>
    </row>
    <row r="71" spans="1:23" x14ac:dyDescent="0.2">
      <c r="A71" s="25" t="s">
        <v>129</v>
      </c>
      <c r="B71" s="25" t="s">
        <v>135</v>
      </c>
      <c r="C71" s="25">
        <v>334</v>
      </c>
      <c r="D71" s="25" t="s">
        <v>55</v>
      </c>
      <c r="E71" s="25" t="s">
        <v>31</v>
      </c>
      <c r="F71" s="25">
        <v>201808</v>
      </c>
      <c r="G71" s="13">
        <v>0</v>
      </c>
      <c r="H71" s="13">
        <v>0</v>
      </c>
      <c r="I71" s="13">
        <v>0</v>
      </c>
      <c r="J71" s="12">
        <v>0</v>
      </c>
      <c r="K71" s="13">
        <v>0</v>
      </c>
      <c r="L71" s="13">
        <v>0</v>
      </c>
      <c r="M71" s="12">
        <v>0</v>
      </c>
      <c r="N71" s="13">
        <v>0</v>
      </c>
      <c r="O71" s="13">
        <f t="shared" si="6"/>
        <v>0</v>
      </c>
      <c r="P71" s="12">
        <f t="shared" si="7"/>
        <v>0</v>
      </c>
      <c r="Q71" s="13">
        <f t="shared" si="7"/>
        <v>0</v>
      </c>
      <c r="R71" s="8">
        <f t="shared" si="8"/>
        <v>0</v>
      </c>
      <c r="S71" s="11">
        <f t="shared" si="8"/>
        <v>0</v>
      </c>
      <c r="T71" s="8">
        <f t="shared" si="9"/>
        <v>0</v>
      </c>
      <c r="U71" s="13">
        <f t="shared" si="10"/>
        <v>0</v>
      </c>
      <c r="V71" s="12">
        <f t="shared" si="10"/>
        <v>0</v>
      </c>
      <c r="W71" s="13">
        <f t="shared" si="11"/>
        <v>0</v>
      </c>
    </row>
    <row r="72" spans="1:23" x14ac:dyDescent="0.2">
      <c r="A72" s="25" t="s">
        <v>129</v>
      </c>
      <c r="B72" s="25" t="s">
        <v>135</v>
      </c>
      <c r="C72" s="25">
        <v>334</v>
      </c>
      <c r="D72" s="25" t="s">
        <v>55</v>
      </c>
      <c r="E72" s="25" t="s">
        <v>31</v>
      </c>
      <c r="F72" s="25">
        <v>201809</v>
      </c>
      <c r="G72" s="13">
        <v>0</v>
      </c>
      <c r="H72" s="13">
        <v>0</v>
      </c>
      <c r="I72" s="13">
        <v>0</v>
      </c>
      <c r="J72" s="12">
        <v>0</v>
      </c>
      <c r="K72" s="13">
        <v>0</v>
      </c>
      <c r="L72" s="13">
        <v>0</v>
      </c>
      <c r="M72" s="12">
        <v>0</v>
      </c>
      <c r="N72" s="13">
        <v>0</v>
      </c>
      <c r="O72" s="13">
        <f t="shared" si="6"/>
        <v>0</v>
      </c>
      <c r="P72" s="12">
        <f t="shared" si="7"/>
        <v>0</v>
      </c>
      <c r="Q72" s="13">
        <f t="shared" si="7"/>
        <v>0</v>
      </c>
      <c r="R72" s="8">
        <f t="shared" si="8"/>
        <v>0</v>
      </c>
      <c r="S72" s="11">
        <f t="shared" si="8"/>
        <v>0</v>
      </c>
      <c r="T72" s="8">
        <f t="shared" si="9"/>
        <v>0</v>
      </c>
      <c r="U72" s="13">
        <f t="shared" si="10"/>
        <v>0</v>
      </c>
      <c r="V72" s="12">
        <f t="shared" si="10"/>
        <v>0</v>
      </c>
      <c r="W72" s="13">
        <f t="shared" si="11"/>
        <v>0</v>
      </c>
    </row>
    <row r="73" spans="1:23" x14ac:dyDescent="0.2">
      <c r="A73" s="25" t="s">
        <v>129</v>
      </c>
      <c r="B73" s="25" t="s">
        <v>135</v>
      </c>
      <c r="C73" s="25">
        <v>334</v>
      </c>
      <c r="D73" s="25" t="s">
        <v>55</v>
      </c>
      <c r="E73" s="25" t="s">
        <v>31</v>
      </c>
      <c r="F73" s="25">
        <v>201810</v>
      </c>
      <c r="G73" s="13">
        <v>0</v>
      </c>
      <c r="H73" s="13">
        <v>0</v>
      </c>
      <c r="I73" s="13">
        <v>0</v>
      </c>
      <c r="J73" s="12">
        <v>0</v>
      </c>
      <c r="K73" s="13">
        <v>0</v>
      </c>
      <c r="L73" s="13">
        <v>0</v>
      </c>
      <c r="M73" s="12">
        <v>0</v>
      </c>
      <c r="N73" s="13">
        <v>0</v>
      </c>
      <c r="O73" s="13">
        <f t="shared" si="6"/>
        <v>0</v>
      </c>
      <c r="P73" s="12">
        <f t="shared" si="7"/>
        <v>0</v>
      </c>
      <c r="Q73" s="13">
        <f t="shared" si="7"/>
        <v>0</v>
      </c>
      <c r="R73" s="8">
        <f t="shared" si="8"/>
        <v>0</v>
      </c>
      <c r="S73" s="11">
        <f t="shared" si="8"/>
        <v>0</v>
      </c>
      <c r="T73" s="8">
        <f t="shared" si="9"/>
        <v>0</v>
      </c>
      <c r="U73" s="13">
        <f t="shared" si="10"/>
        <v>0</v>
      </c>
      <c r="V73" s="12">
        <f t="shared" si="10"/>
        <v>0</v>
      </c>
      <c r="W73" s="13">
        <f t="shared" si="11"/>
        <v>0</v>
      </c>
    </row>
    <row r="74" spans="1:23" x14ac:dyDescent="0.2">
      <c r="A74" s="25" t="s">
        <v>129</v>
      </c>
      <c r="B74" s="25" t="s">
        <v>135</v>
      </c>
      <c r="C74" s="25">
        <v>334</v>
      </c>
      <c r="D74" s="25" t="s">
        <v>55</v>
      </c>
      <c r="E74" s="25" t="s">
        <v>31</v>
      </c>
      <c r="F74" s="25">
        <v>201811</v>
      </c>
      <c r="G74" s="13">
        <v>0</v>
      </c>
      <c r="H74" s="13">
        <v>0</v>
      </c>
      <c r="I74" s="13">
        <v>0</v>
      </c>
      <c r="J74" s="12">
        <v>0</v>
      </c>
      <c r="K74" s="13">
        <v>0</v>
      </c>
      <c r="L74" s="13">
        <v>0</v>
      </c>
      <c r="M74" s="12">
        <v>0</v>
      </c>
      <c r="N74" s="13">
        <v>0</v>
      </c>
      <c r="O74" s="13">
        <f t="shared" si="6"/>
        <v>0</v>
      </c>
      <c r="P74" s="12">
        <f t="shared" si="7"/>
        <v>0</v>
      </c>
      <c r="Q74" s="13">
        <f t="shared" si="7"/>
        <v>0</v>
      </c>
      <c r="R74" s="8">
        <f t="shared" si="8"/>
        <v>0</v>
      </c>
      <c r="S74" s="11">
        <f t="shared" si="8"/>
        <v>0</v>
      </c>
      <c r="T74" s="8">
        <f t="shared" si="9"/>
        <v>0</v>
      </c>
      <c r="U74" s="13">
        <f t="shared" si="10"/>
        <v>0</v>
      </c>
      <c r="V74" s="12">
        <f t="shared" si="10"/>
        <v>0</v>
      </c>
      <c r="W74" s="13">
        <f t="shared" si="11"/>
        <v>0</v>
      </c>
    </row>
    <row r="75" spans="1:23" x14ac:dyDescent="0.2">
      <c r="A75" s="25" t="s">
        <v>129</v>
      </c>
      <c r="B75" s="25" t="s">
        <v>135</v>
      </c>
      <c r="C75" s="25">
        <v>334</v>
      </c>
      <c r="D75" s="25" t="s">
        <v>55</v>
      </c>
      <c r="E75" s="25" t="s">
        <v>31</v>
      </c>
      <c r="F75" s="25">
        <v>201812</v>
      </c>
      <c r="G75" s="13">
        <v>0</v>
      </c>
      <c r="H75" s="13">
        <v>0</v>
      </c>
      <c r="I75" s="13">
        <v>0</v>
      </c>
      <c r="J75" s="12">
        <v>0</v>
      </c>
      <c r="K75" s="13">
        <v>0</v>
      </c>
      <c r="L75" s="13">
        <v>0</v>
      </c>
      <c r="M75" s="12">
        <v>0</v>
      </c>
      <c r="N75" s="13">
        <v>0</v>
      </c>
      <c r="O75" s="13">
        <f t="shared" si="6"/>
        <v>0</v>
      </c>
      <c r="P75" s="12">
        <f t="shared" si="7"/>
        <v>0</v>
      </c>
      <c r="Q75" s="13">
        <f t="shared" si="7"/>
        <v>0</v>
      </c>
      <c r="R75" s="8">
        <f t="shared" si="8"/>
        <v>0</v>
      </c>
      <c r="S75" s="11">
        <f t="shared" si="8"/>
        <v>0</v>
      </c>
      <c r="T75" s="8">
        <f t="shared" si="9"/>
        <v>0</v>
      </c>
      <c r="U75" s="13">
        <f t="shared" si="10"/>
        <v>0</v>
      </c>
      <c r="V75" s="12">
        <f t="shared" si="10"/>
        <v>0</v>
      </c>
      <c r="W75" s="13">
        <f t="shared" si="11"/>
        <v>0</v>
      </c>
    </row>
    <row r="76" spans="1:23" x14ac:dyDescent="0.2">
      <c r="A76" s="25" t="s">
        <v>129</v>
      </c>
      <c r="B76" s="25" t="s">
        <v>136</v>
      </c>
      <c r="C76" s="25">
        <v>329</v>
      </c>
      <c r="D76" s="25" t="s">
        <v>54</v>
      </c>
      <c r="E76" s="25" t="s">
        <v>31</v>
      </c>
      <c r="F76" s="25">
        <v>201807</v>
      </c>
      <c r="G76" s="13">
        <v>0</v>
      </c>
      <c r="H76" s="13">
        <v>0</v>
      </c>
      <c r="I76" s="13">
        <v>0</v>
      </c>
      <c r="J76" s="12">
        <v>0</v>
      </c>
      <c r="K76" s="13">
        <v>0</v>
      </c>
      <c r="L76" s="13">
        <v>0</v>
      </c>
      <c r="M76" s="12">
        <v>0</v>
      </c>
      <c r="N76" s="13">
        <v>0</v>
      </c>
      <c r="O76" s="13">
        <f t="shared" si="6"/>
        <v>0</v>
      </c>
      <c r="P76" s="12">
        <f t="shared" si="7"/>
        <v>0</v>
      </c>
      <c r="Q76" s="13">
        <f t="shared" si="7"/>
        <v>0</v>
      </c>
      <c r="R76" s="8">
        <f t="shared" si="8"/>
        <v>0</v>
      </c>
      <c r="S76" s="11">
        <f t="shared" si="8"/>
        <v>0</v>
      </c>
      <c r="T76" s="8">
        <f t="shared" si="9"/>
        <v>0</v>
      </c>
      <c r="U76" s="13">
        <f t="shared" si="10"/>
        <v>0</v>
      </c>
      <c r="V76" s="12">
        <f t="shared" si="10"/>
        <v>0</v>
      </c>
      <c r="W76" s="13">
        <f t="shared" si="11"/>
        <v>0</v>
      </c>
    </row>
    <row r="77" spans="1:23" x14ac:dyDescent="0.2">
      <c r="A77" s="25" t="s">
        <v>129</v>
      </c>
      <c r="B77" s="25" t="s">
        <v>136</v>
      </c>
      <c r="C77" s="25">
        <v>329</v>
      </c>
      <c r="D77" s="25" t="s">
        <v>54</v>
      </c>
      <c r="E77" s="25" t="s">
        <v>31</v>
      </c>
      <c r="F77" s="25">
        <v>201808</v>
      </c>
      <c r="G77" s="13">
        <v>0</v>
      </c>
      <c r="H77" s="13">
        <v>0</v>
      </c>
      <c r="I77" s="13">
        <v>0</v>
      </c>
      <c r="J77" s="12">
        <v>0</v>
      </c>
      <c r="K77" s="13">
        <v>0</v>
      </c>
      <c r="L77" s="13">
        <v>0</v>
      </c>
      <c r="M77" s="12">
        <v>0</v>
      </c>
      <c r="N77" s="13">
        <v>0</v>
      </c>
      <c r="O77" s="13">
        <f t="shared" si="6"/>
        <v>0</v>
      </c>
      <c r="P77" s="12">
        <f t="shared" si="7"/>
        <v>0</v>
      </c>
      <c r="Q77" s="13">
        <f t="shared" si="7"/>
        <v>0</v>
      </c>
      <c r="R77" s="8">
        <f t="shared" si="8"/>
        <v>0</v>
      </c>
      <c r="S77" s="11">
        <f t="shared" si="8"/>
        <v>0</v>
      </c>
      <c r="T77" s="8">
        <f t="shared" si="9"/>
        <v>0</v>
      </c>
      <c r="U77" s="13">
        <f t="shared" si="10"/>
        <v>0</v>
      </c>
      <c r="V77" s="12">
        <f t="shared" si="10"/>
        <v>0</v>
      </c>
      <c r="W77" s="13">
        <f t="shared" si="11"/>
        <v>0</v>
      </c>
    </row>
    <row r="78" spans="1:23" x14ac:dyDescent="0.2">
      <c r="A78" s="25" t="s">
        <v>129</v>
      </c>
      <c r="B78" s="25" t="s">
        <v>136</v>
      </c>
      <c r="C78" s="25">
        <v>329</v>
      </c>
      <c r="D78" s="25" t="s">
        <v>54</v>
      </c>
      <c r="E78" s="25" t="s">
        <v>31</v>
      </c>
      <c r="F78" s="25">
        <v>201809</v>
      </c>
      <c r="G78" s="13">
        <v>0</v>
      </c>
      <c r="H78" s="13">
        <v>0</v>
      </c>
      <c r="I78" s="13">
        <v>0</v>
      </c>
      <c r="J78" s="12">
        <v>0</v>
      </c>
      <c r="K78" s="13">
        <v>0</v>
      </c>
      <c r="L78" s="13">
        <v>0</v>
      </c>
      <c r="M78" s="12">
        <v>0</v>
      </c>
      <c r="N78" s="13">
        <v>0</v>
      </c>
      <c r="O78" s="13">
        <f t="shared" si="6"/>
        <v>0</v>
      </c>
      <c r="P78" s="12">
        <f t="shared" si="7"/>
        <v>0</v>
      </c>
      <c r="Q78" s="13">
        <f t="shared" si="7"/>
        <v>0</v>
      </c>
      <c r="R78" s="8">
        <f t="shared" si="8"/>
        <v>0</v>
      </c>
      <c r="S78" s="11">
        <f t="shared" si="8"/>
        <v>0</v>
      </c>
      <c r="T78" s="8">
        <f t="shared" si="9"/>
        <v>0</v>
      </c>
      <c r="U78" s="13">
        <f t="shared" si="10"/>
        <v>0</v>
      </c>
      <c r="V78" s="12">
        <f t="shared" si="10"/>
        <v>0</v>
      </c>
      <c r="W78" s="13">
        <f t="shared" si="11"/>
        <v>0</v>
      </c>
    </row>
    <row r="79" spans="1:23" x14ac:dyDescent="0.2">
      <c r="A79" s="25" t="s">
        <v>129</v>
      </c>
      <c r="B79" s="25" t="s">
        <v>136</v>
      </c>
      <c r="C79" s="25">
        <v>329</v>
      </c>
      <c r="D79" s="25" t="s">
        <v>54</v>
      </c>
      <c r="E79" s="25" t="s">
        <v>31</v>
      </c>
      <c r="F79" s="25">
        <v>201810</v>
      </c>
      <c r="G79" s="13">
        <v>0</v>
      </c>
      <c r="H79" s="13">
        <v>0</v>
      </c>
      <c r="I79" s="13">
        <v>0</v>
      </c>
      <c r="J79" s="12">
        <v>0</v>
      </c>
      <c r="K79" s="13">
        <v>0</v>
      </c>
      <c r="L79" s="13">
        <v>0</v>
      </c>
      <c r="M79" s="12">
        <v>0</v>
      </c>
      <c r="N79" s="13">
        <v>0</v>
      </c>
      <c r="O79" s="13">
        <f t="shared" si="6"/>
        <v>0</v>
      </c>
      <c r="P79" s="12">
        <f t="shared" si="7"/>
        <v>0</v>
      </c>
      <c r="Q79" s="13">
        <f t="shared" si="7"/>
        <v>0</v>
      </c>
      <c r="R79" s="8">
        <f t="shared" si="8"/>
        <v>0</v>
      </c>
      <c r="S79" s="11">
        <f t="shared" si="8"/>
        <v>0</v>
      </c>
      <c r="T79" s="8">
        <f t="shared" si="9"/>
        <v>0</v>
      </c>
      <c r="U79" s="13">
        <f t="shared" si="10"/>
        <v>0</v>
      </c>
      <c r="V79" s="12">
        <f t="shared" si="10"/>
        <v>0</v>
      </c>
      <c r="W79" s="13">
        <f t="shared" si="11"/>
        <v>0</v>
      </c>
    </row>
    <row r="80" spans="1:23" x14ac:dyDescent="0.2">
      <c r="A80" s="25" t="s">
        <v>129</v>
      </c>
      <c r="B80" s="25" t="s">
        <v>136</v>
      </c>
      <c r="C80" s="25">
        <v>329</v>
      </c>
      <c r="D80" s="25" t="s">
        <v>54</v>
      </c>
      <c r="E80" s="25" t="s">
        <v>31</v>
      </c>
      <c r="F80" s="25">
        <v>201811</v>
      </c>
      <c r="G80" s="13">
        <v>0</v>
      </c>
      <c r="H80" s="13">
        <v>0</v>
      </c>
      <c r="I80" s="13">
        <v>0</v>
      </c>
      <c r="J80" s="12">
        <v>0</v>
      </c>
      <c r="K80" s="13">
        <v>0</v>
      </c>
      <c r="L80" s="13">
        <v>0</v>
      </c>
      <c r="M80" s="12">
        <v>0</v>
      </c>
      <c r="N80" s="13">
        <v>0</v>
      </c>
      <c r="O80" s="13">
        <f t="shared" si="6"/>
        <v>0</v>
      </c>
      <c r="P80" s="12">
        <f t="shared" si="7"/>
        <v>0</v>
      </c>
      <c r="Q80" s="13">
        <f t="shared" si="7"/>
        <v>0</v>
      </c>
      <c r="R80" s="8">
        <f t="shared" si="8"/>
        <v>0</v>
      </c>
      <c r="S80" s="11">
        <f t="shared" si="8"/>
        <v>0</v>
      </c>
      <c r="T80" s="8">
        <f t="shared" si="9"/>
        <v>0</v>
      </c>
      <c r="U80" s="13">
        <f t="shared" si="10"/>
        <v>0</v>
      </c>
      <c r="V80" s="12">
        <f t="shared" si="10"/>
        <v>0</v>
      </c>
      <c r="W80" s="13">
        <f t="shared" si="11"/>
        <v>0</v>
      </c>
    </row>
    <row r="81" spans="1:23" x14ac:dyDescent="0.2">
      <c r="A81" s="25" t="s">
        <v>129</v>
      </c>
      <c r="B81" s="25" t="s">
        <v>136</v>
      </c>
      <c r="C81" s="25">
        <v>329</v>
      </c>
      <c r="D81" s="25" t="s">
        <v>54</v>
      </c>
      <c r="E81" s="25" t="s">
        <v>31</v>
      </c>
      <c r="F81" s="25">
        <v>201812</v>
      </c>
      <c r="G81" s="13">
        <v>0</v>
      </c>
      <c r="H81" s="13">
        <v>0</v>
      </c>
      <c r="I81" s="13">
        <v>0</v>
      </c>
      <c r="J81" s="12">
        <v>0</v>
      </c>
      <c r="K81" s="13">
        <v>0</v>
      </c>
      <c r="L81" s="13">
        <v>0</v>
      </c>
      <c r="M81" s="12">
        <v>0</v>
      </c>
      <c r="N81" s="13">
        <v>0</v>
      </c>
      <c r="O81" s="13">
        <f t="shared" si="6"/>
        <v>0</v>
      </c>
      <c r="P81" s="12">
        <f t="shared" si="7"/>
        <v>0</v>
      </c>
      <c r="Q81" s="13">
        <f t="shared" si="7"/>
        <v>0</v>
      </c>
      <c r="R81" s="8">
        <f t="shared" si="8"/>
        <v>0</v>
      </c>
      <c r="S81" s="11">
        <f t="shared" si="8"/>
        <v>0</v>
      </c>
      <c r="T81" s="8">
        <f t="shared" si="9"/>
        <v>0</v>
      </c>
      <c r="U81" s="13">
        <f t="shared" si="10"/>
        <v>0</v>
      </c>
      <c r="V81" s="12">
        <f t="shared" si="10"/>
        <v>0</v>
      </c>
      <c r="W81" s="13">
        <f t="shared" si="11"/>
        <v>0</v>
      </c>
    </row>
    <row r="82" spans="1:23" x14ac:dyDescent="0.2">
      <c r="A82" s="25" t="s">
        <v>129</v>
      </c>
      <c r="B82" s="25" t="s">
        <v>136</v>
      </c>
      <c r="C82" s="25">
        <v>329</v>
      </c>
      <c r="D82" s="25" t="s">
        <v>55</v>
      </c>
      <c r="E82" s="25" t="s">
        <v>31</v>
      </c>
      <c r="F82" s="25">
        <v>201807</v>
      </c>
      <c r="G82" s="13">
        <v>3</v>
      </c>
      <c r="H82" s="13">
        <v>0</v>
      </c>
      <c r="I82" s="13">
        <v>0</v>
      </c>
      <c r="J82" s="12">
        <v>0</v>
      </c>
      <c r="K82" s="13">
        <v>0</v>
      </c>
      <c r="L82" s="13">
        <v>3</v>
      </c>
      <c r="M82" s="12">
        <v>0</v>
      </c>
      <c r="N82" s="13">
        <v>0</v>
      </c>
      <c r="O82" s="13">
        <f t="shared" si="6"/>
        <v>3</v>
      </c>
      <c r="P82" s="12">
        <f t="shared" si="7"/>
        <v>0</v>
      </c>
      <c r="Q82" s="13">
        <f t="shared" si="7"/>
        <v>0</v>
      </c>
      <c r="R82" s="8">
        <v>0</v>
      </c>
      <c r="S82" s="11">
        <f t="shared" si="8"/>
        <v>0</v>
      </c>
      <c r="T82" s="8">
        <f t="shared" si="9"/>
        <v>0</v>
      </c>
      <c r="U82" s="13">
        <f t="shared" si="10"/>
        <v>0</v>
      </c>
      <c r="V82" s="12">
        <f t="shared" si="10"/>
        <v>0</v>
      </c>
      <c r="W82" s="13">
        <f t="shared" si="11"/>
        <v>0</v>
      </c>
    </row>
    <row r="83" spans="1:23" x14ac:dyDescent="0.2">
      <c r="A83" s="25" t="s">
        <v>129</v>
      </c>
      <c r="B83" s="25" t="s">
        <v>136</v>
      </c>
      <c r="C83" s="25">
        <v>329</v>
      </c>
      <c r="D83" s="25" t="s">
        <v>55</v>
      </c>
      <c r="E83" s="25" t="s">
        <v>31</v>
      </c>
      <c r="F83" s="25">
        <v>201808</v>
      </c>
      <c r="G83" s="13">
        <v>3</v>
      </c>
      <c r="H83" s="13">
        <v>0</v>
      </c>
      <c r="I83" s="13">
        <v>0</v>
      </c>
      <c r="J83" s="12">
        <v>0</v>
      </c>
      <c r="K83" s="13">
        <v>0</v>
      </c>
      <c r="L83" s="13">
        <v>3</v>
      </c>
      <c r="M83" s="12">
        <v>0</v>
      </c>
      <c r="N83" s="13">
        <v>0</v>
      </c>
      <c r="O83" s="13">
        <f t="shared" si="6"/>
        <v>3</v>
      </c>
      <c r="P83" s="12">
        <f t="shared" si="7"/>
        <v>0</v>
      </c>
      <c r="Q83" s="13">
        <f t="shared" si="7"/>
        <v>0</v>
      </c>
      <c r="R83" s="8">
        <v>0</v>
      </c>
      <c r="S83" s="11">
        <f t="shared" si="8"/>
        <v>0</v>
      </c>
      <c r="T83" s="8">
        <f t="shared" si="9"/>
        <v>0</v>
      </c>
      <c r="U83" s="13">
        <f t="shared" si="10"/>
        <v>0</v>
      </c>
      <c r="V83" s="12">
        <f t="shared" si="10"/>
        <v>0</v>
      </c>
      <c r="W83" s="13">
        <f t="shared" si="11"/>
        <v>0</v>
      </c>
    </row>
    <row r="84" spans="1:23" x14ac:dyDescent="0.2">
      <c r="A84" s="25" t="s">
        <v>129</v>
      </c>
      <c r="B84" s="25" t="s">
        <v>136</v>
      </c>
      <c r="C84" s="25">
        <v>329</v>
      </c>
      <c r="D84" s="25" t="s">
        <v>55</v>
      </c>
      <c r="E84" s="25" t="s">
        <v>31</v>
      </c>
      <c r="F84" s="25">
        <v>201809</v>
      </c>
      <c r="G84" s="13">
        <v>3</v>
      </c>
      <c r="H84" s="13">
        <v>0</v>
      </c>
      <c r="I84" s="13">
        <v>0</v>
      </c>
      <c r="J84" s="12">
        <v>0</v>
      </c>
      <c r="K84" s="13">
        <v>0</v>
      </c>
      <c r="L84" s="13">
        <v>3</v>
      </c>
      <c r="M84" s="12">
        <v>0</v>
      </c>
      <c r="N84" s="13">
        <v>0</v>
      </c>
      <c r="O84" s="13">
        <f t="shared" si="6"/>
        <v>3</v>
      </c>
      <c r="P84" s="12">
        <f t="shared" si="7"/>
        <v>0</v>
      </c>
      <c r="Q84" s="13">
        <f t="shared" si="7"/>
        <v>0</v>
      </c>
      <c r="R84" s="8">
        <v>0</v>
      </c>
      <c r="S84" s="11">
        <f t="shared" si="8"/>
        <v>0</v>
      </c>
      <c r="T84" s="8">
        <f t="shared" si="9"/>
        <v>0</v>
      </c>
      <c r="U84" s="13">
        <f t="shared" si="10"/>
        <v>0</v>
      </c>
      <c r="V84" s="12">
        <f t="shared" si="10"/>
        <v>0</v>
      </c>
      <c r="W84" s="13">
        <f t="shared" si="11"/>
        <v>0</v>
      </c>
    </row>
    <row r="85" spans="1:23" x14ac:dyDescent="0.2">
      <c r="A85" s="25" t="s">
        <v>129</v>
      </c>
      <c r="B85" s="25" t="s">
        <v>136</v>
      </c>
      <c r="C85" s="25">
        <v>329</v>
      </c>
      <c r="D85" s="25" t="s">
        <v>55</v>
      </c>
      <c r="E85" s="25" t="s">
        <v>31</v>
      </c>
      <c r="F85" s="25">
        <v>201810</v>
      </c>
      <c r="G85" s="13">
        <v>3</v>
      </c>
      <c r="H85" s="13">
        <v>0</v>
      </c>
      <c r="I85" s="13">
        <v>0</v>
      </c>
      <c r="J85" s="12">
        <v>0</v>
      </c>
      <c r="K85" s="13">
        <v>0</v>
      </c>
      <c r="L85" s="13">
        <v>3</v>
      </c>
      <c r="M85" s="12">
        <v>0</v>
      </c>
      <c r="N85" s="13">
        <v>0</v>
      </c>
      <c r="O85" s="13">
        <f t="shared" si="6"/>
        <v>3</v>
      </c>
      <c r="P85" s="12">
        <f t="shared" si="7"/>
        <v>0</v>
      </c>
      <c r="Q85" s="13">
        <f t="shared" si="7"/>
        <v>0</v>
      </c>
      <c r="R85" s="8">
        <v>0</v>
      </c>
      <c r="S85" s="11">
        <f t="shared" si="8"/>
        <v>0</v>
      </c>
      <c r="T85" s="8">
        <f t="shared" si="9"/>
        <v>0</v>
      </c>
      <c r="U85" s="13">
        <f t="shared" si="10"/>
        <v>0</v>
      </c>
      <c r="V85" s="12">
        <f t="shared" si="10"/>
        <v>0</v>
      </c>
      <c r="W85" s="13">
        <f t="shared" si="11"/>
        <v>0</v>
      </c>
    </row>
    <row r="86" spans="1:23" x14ac:dyDescent="0.2">
      <c r="A86" s="25" t="s">
        <v>129</v>
      </c>
      <c r="B86" s="25" t="s">
        <v>136</v>
      </c>
      <c r="C86" s="25">
        <v>329</v>
      </c>
      <c r="D86" s="25" t="s">
        <v>55</v>
      </c>
      <c r="E86" s="25" t="s">
        <v>31</v>
      </c>
      <c r="F86" s="25">
        <v>201811</v>
      </c>
      <c r="G86" s="13">
        <v>3</v>
      </c>
      <c r="H86" s="13">
        <v>0</v>
      </c>
      <c r="I86" s="13">
        <v>0</v>
      </c>
      <c r="J86" s="12">
        <v>0</v>
      </c>
      <c r="K86" s="13">
        <v>0</v>
      </c>
      <c r="L86" s="13">
        <v>3</v>
      </c>
      <c r="M86" s="12">
        <v>0</v>
      </c>
      <c r="N86" s="13">
        <v>0</v>
      </c>
      <c r="O86" s="13">
        <f t="shared" si="6"/>
        <v>3</v>
      </c>
      <c r="P86" s="12">
        <f t="shared" si="7"/>
        <v>0</v>
      </c>
      <c r="Q86" s="13">
        <f t="shared" si="7"/>
        <v>0</v>
      </c>
      <c r="R86" s="8">
        <v>0</v>
      </c>
      <c r="S86" s="11">
        <f t="shared" si="8"/>
        <v>0</v>
      </c>
      <c r="T86" s="8">
        <f t="shared" si="9"/>
        <v>0</v>
      </c>
      <c r="U86" s="13">
        <f t="shared" si="10"/>
        <v>0</v>
      </c>
      <c r="V86" s="12">
        <f t="shared" si="10"/>
        <v>0</v>
      </c>
      <c r="W86" s="13">
        <f t="shared" si="11"/>
        <v>0</v>
      </c>
    </row>
    <row r="87" spans="1:23" x14ac:dyDescent="0.2">
      <c r="A87" s="25" t="s">
        <v>129</v>
      </c>
      <c r="B87" s="25" t="s">
        <v>136</v>
      </c>
      <c r="C87" s="25">
        <v>329</v>
      </c>
      <c r="D87" s="25" t="s">
        <v>55</v>
      </c>
      <c r="E87" s="25" t="s">
        <v>31</v>
      </c>
      <c r="F87" s="25">
        <v>201812</v>
      </c>
      <c r="G87" s="13">
        <v>3</v>
      </c>
      <c r="H87" s="13">
        <v>0</v>
      </c>
      <c r="I87" s="13">
        <v>0</v>
      </c>
      <c r="J87" s="12">
        <v>0</v>
      </c>
      <c r="K87" s="13">
        <v>0</v>
      </c>
      <c r="L87" s="13">
        <v>3</v>
      </c>
      <c r="M87" s="12">
        <v>0</v>
      </c>
      <c r="N87" s="13">
        <v>0</v>
      </c>
      <c r="O87" s="13">
        <f t="shared" si="6"/>
        <v>3</v>
      </c>
      <c r="P87" s="12">
        <f t="shared" si="7"/>
        <v>0</v>
      </c>
      <c r="Q87" s="13">
        <f t="shared" si="7"/>
        <v>0</v>
      </c>
      <c r="R87" s="8">
        <v>0</v>
      </c>
      <c r="S87" s="11">
        <f t="shared" si="8"/>
        <v>0</v>
      </c>
      <c r="T87" s="8">
        <f t="shared" si="9"/>
        <v>0</v>
      </c>
      <c r="U87" s="13">
        <f t="shared" si="10"/>
        <v>0</v>
      </c>
      <c r="V87" s="12">
        <f t="shared" si="10"/>
        <v>0</v>
      </c>
      <c r="W87" s="13">
        <f t="shared" si="11"/>
        <v>0</v>
      </c>
    </row>
    <row r="88" spans="1:23" x14ac:dyDescent="0.2">
      <c r="A88" s="25" t="s">
        <v>129</v>
      </c>
      <c r="B88" s="25" t="s">
        <v>137</v>
      </c>
      <c r="C88" s="25">
        <v>330</v>
      </c>
      <c r="D88" s="25" t="s">
        <v>54</v>
      </c>
      <c r="E88" s="25" t="s">
        <v>31</v>
      </c>
      <c r="F88" s="25">
        <v>201807</v>
      </c>
      <c r="G88" s="13">
        <v>0</v>
      </c>
      <c r="H88" s="13">
        <v>0</v>
      </c>
      <c r="I88" s="13">
        <v>0</v>
      </c>
      <c r="J88" s="12">
        <v>0</v>
      </c>
      <c r="K88" s="13">
        <v>0</v>
      </c>
      <c r="L88" s="13">
        <v>0</v>
      </c>
      <c r="M88" s="12">
        <v>0</v>
      </c>
      <c r="N88" s="13">
        <v>0</v>
      </c>
      <c r="O88" s="13">
        <f t="shared" si="6"/>
        <v>0</v>
      </c>
      <c r="P88" s="12">
        <f t="shared" si="7"/>
        <v>0</v>
      </c>
      <c r="Q88" s="13">
        <f t="shared" si="7"/>
        <v>0</v>
      </c>
      <c r="R88" s="8">
        <f t="shared" si="8"/>
        <v>0</v>
      </c>
      <c r="S88" s="11">
        <f t="shared" si="8"/>
        <v>0</v>
      </c>
      <c r="T88" s="8">
        <f t="shared" si="9"/>
        <v>0</v>
      </c>
      <c r="U88" s="13">
        <f t="shared" si="10"/>
        <v>0</v>
      </c>
      <c r="V88" s="12">
        <f t="shared" si="10"/>
        <v>0</v>
      </c>
      <c r="W88" s="13">
        <f t="shared" si="11"/>
        <v>0</v>
      </c>
    </row>
    <row r="89" spans="1:23" x14ac:dyDescent="0.2">
      <c r="A89" s="25" t="s">
        <v>129</v>
      </c>
      <c r="B89" s="25" t="s">
        <v>137</v>
      </c>
      <c r="C89" s="25">
        <v>330</v>
      </c>
      <c r="D89" s="25" t="s">
        <v>54</v>
      </c>
      <c r="E89" s="25" t="s">
        <v>31</v>
      </c>
      <c r="F89" s="25">
        <v>201808</v>
      </c>
      <c r="G89" s="13">
        <v>0</v>
      </c>
      <c r="H89" s="13">
        <v>0</v>
      </c>
      <c r="I89" s="13">
        <v>0</v>
      </c>
      <c r="J89" s="12">
        <v>0</v>
      </c>
      <c r="K89" s="13">
        <v>0</v>
      </c>
      <c r="L89" s="13">
        <v>0</v>
      </c>
      <c r="M89" s="12">
        <v>0</v>
      </c>
      <c r="N89" s="13">
        <v>0</v>
      </c>
      <c r="O89" s="13">
        <f t="shared" si="6"/>
        <v>0</v>
      </c>
      <c r="P89" s="12">
        <f t="shared" si="7"/>
        <v>0</v>
      </c>
      <c r="Q89" s="13">
        <f t="shared" si="7"/>
        <v>0</v>
      </c>
      <c r="R89" s="8">
        <f t="shared" si="8"/>
        <v>0</v>
      </c>
      <c r="S89" s="11">
        <f t="shared" si="8"/>
        <v>0</v>
      </c>
      <c r="T89" s="8">
        <f t="shared" si="9"/>
        <v>0</v>
      </c>
      <c r="U89" s="13">
        <f t="shared" si="10"/>
        <v>0</v>
      </c>
      <c r="V89" s="12">
        <f t="shared" si="10"/>
        <v>0</v>
      </c>
      <c r="W89" s="13">
        <f t="shared" si="11"/>
        <v>0</v>
      </c>
    </row>
    <row r="90" spans="1:23" x14ac:dyDescent="0.2">
      <c r="A90" s="25" t="s">
        <v>129</v>
      </c>
      <c r="B90" s="25" t="s">
        <v>137</v>
      </c>
      <c r="C90" s="25">
        <v>330</v>
      </c>
      <c r="D90" s="25" t="s">
        <v>54</v>
      </c>
      <c r="E90" s="25" t="s">
        <v>31</v>
      </c>
      <c r="F90" s="25">
        <v>201809</v>
      </c>
      <c r="G90" s="13">
        <v>0</v>
      </c>
      <c r="H90" s="13">
        <v>0</v>
      </c>
      <c r="I90" s="13">
        <v>0</v>
      </c>
      <c r="J90" s="12">
        <v>0</v>
      </c>
      <c r="K90" s="13">
        <v>0</v>
      </c>
      <c r="L90" s="13">
        <v>0</v>
      </c>
      <c r="M90" s="12">
        <v>0</v>
      </c>
      <c r="N90" s="13">
        <v>0</v>
      </c>
      <c r="O90" s="13">
        <f t="shared" si="6"/>
        <v>0</v>
      </c>
      <c r="P90" s="12">
        <f t="shared" si="7"/>
        <v>0</v>
      </c>
      <c r="Q90" s="13">
        <f t="shared" si="7"/>
        <v>0</v>
      </c>
      <c r="R90" s="8">
        <f t="shared" si="8"/>
        <v>0</v>
      </c>
      <c r="S90" s="11">
        <f t="shared" si="8"/>
        <v>0</v>
      </c>
      <c r="T90" s="8">
        <f t="shared" si="9"/>
        <v>0</v>
      </c>
      <c r="U90" s="13">
        <f t="shared" si="10"/>
        <v>0</v>
      </c>
      <c r="V90" s="12">
        <f t="shared" si="10"/>
        <v>0</v>
      </c>
      <c r="W90" s="13">
        <f t="shared" si="11"/>
        <v>0</v>
      </c>
    </row>
    <row r="91" spans="1:23" x14ac:dyDescent="0.2">
      <c r="A91" s="25" t="s">
        <v>129</v>
      </c>
      <c r="B91" s="25" t="s">
        <v>137</v>
      </c>
      <c r="C91" s="25">
        <v>330</v>
      </c>
      <c r="D91" s="25" t="s">
        <v>54</v>
      </c>
      <c r="E91" s="25" t="s">
        <v>31</v>
      </c>
      <c r="F91" s="25">
        <v>201810</v>
      </c>
      <c r="G91" s="13">
        <v>0</v>
      </c>
      <c r="H91" s="13">
        <v>0</v>
      </c>
      <c r="I91" s="13">
        <v>0</v>
      </c>
      <c r="J91" s="12">
        <v>0</v>
      </c>
      <c r="K91" s="13">
        <v>0</v>
      </c>
      <c r="L91" s="13">
        <v>0</v>
      </c>
      <c r="M91" s="12">
        <v>0</v>
      </c>
      <c r="N91" s="13">
        <v>0</v>
      </c>
      <c r="O91" s="13">
        <f t="shared" si="6"/>
        <v>0</v>
      </c>
      <c r="P91" s="12">
        <f t="shared" si="7"/>
        <v>0</v>
      </c>
      <c r="Q91" s="13">
        <f t="shared" si="7"/>
        <v>0</v>
      </c>
      <c r="R91" s="8">
        <f t="shared" si="8"/>
        <v>0</v>
      </c>
      <c r="S91" s="11">
        <f t="shared" si="8"/>
        <v>0</v>
      </c>
      <c r="T91" s="8">
        <f t="shared" si="9"/>
        <v>0</v>
      </c>
      <c r="U91" s="13">
        <f t="shared" si="10"/>
        <v>0</v>
      </c>
      <c r="V91" s="12">
        <f t="shared" si="10"/>
        <v>0</v>
      </c>
      <c r="W91" s="13">
        <f t="shared" si="11"/>
        <v>0</v>
      </c>
    </row>
    <row r="92" spans="1:23" x14ac:dyDescent="0.2">
      <c r="A92" s="25" t="s">
        <v>129</v>
      </c>
      <c r="B92" s="25" t="s">
        <v>137</v>
      </c>
      <c r="C92" s="25">
        <v>330</v>
      </c>
      <c r="D92" s="25" t="s">
        <v>54</v>
      </c>
      <c r="E92" s="25" t="s">
        <v>31</v>
      </c>
      <c r="F92" s="25">
        <v>201811</v>
      </c>
      <c r="G92" s="13">
        <v>0</v>
      </c>
      <c r="H92" s="13">
        <v>0</v>
      </c>
      <c r="I92" s="13">
        <v>0</v>
      </c>
      <c r="J92" s="12">
        <v>0</v>
      </c>
      <c r="K92" s="13">
        <v>0</v>
      </c>
      <c r="L92" s="13">
        <v>0</v>
      </c>
      <c r="M92" s="12">
        <v>0</v>
      </c>
      <c r="N92" s="13">
        <v>0</v>
      </c>
      <c r="O92" s="13">
        <f t="shared" si="6"/>
        <v>0</v>
      </c>
      <c r="P92" s="12">
        <f t="shared" si="7"/>
        <v>0</v>
      </c>
      <c r="Q92" s="13">
        <f t="shared" si="7"/>
        <v>0</v>
      </c>
      <c r="R92" s="8">
        <f t="shared" si="8"/>
        <v>0</v>
      </c>
      <c r="S92" s="11">
        <f t="shared" si="8"/>
        <v>0</v>
      </c>
      <c r="T92" s="8">
        <f t="shared" si="9"/>
        <v>0</v>
      </c>
      <c r="U92" s="13">
        <f t="shared" si="10"/>
        <v>0</v>
      </c>
      <c r="V92" s="12">
        <f t="shared" si="10"/>
        <v>0</v>
      </c>
      <c r="W92" s="13">
        <f t="shared" si="11"/>
        <v>0</v>
      </c>
    </row>
    <row r="93" spans="1:23" x14ac:dyDescent="0.2">
      <c r="A93" s="25" t="s">
        <v>129</v>
      </c>
      <c r="B93" s="25" t="s">
        <v>137</v>
      </c>
      <c r="C93" s="25">
        <v>330</v>
      </c>
      <c r="D93" s="25" t="s">
        <v>54</v>
      </c>
      <c r="E93" s="25" t="s">
        <v>31</v>
      </c>
      <c r="F93" s="25">
        <v>201812</v>
      </c>
      <c r="G93" s="13">
        <v>0</v>
      </c>
      <c r="H93" s="13">
        <v>0</v>
      </c>
      <c r="I93" s="13">
        <v>0</v>
      </c>
      <c r="J93" s="12">
        <v>0</v>
      </c>
      <c r="K93" s="13">
        <v>0</v>
      </c>
      <c r="L93" s="13">
        <v>0</v>
      </c>
      <c r="M93" s="12">
        <v>0</v>
      </c>
      <c r="N93" s="13">
        <v>0</v>
      </c>
      <c r="O93" s="13">
        <f t="shared" si="6"/>
        <v>0</v>
      </c>
      <c r="P93" s="12">
        <f t="shared" si="7"/>
        <v>0</v>
      </c>
      <c r="Q93" s="13">
        <f t="shared" si="7"/>
        <v>0</v>
      </c>
      <c r="R93" s="8">
        <f t="shared" si="8"/>
        <v>0</v>
      </c>
      <c r="S93" s="11">
        <f t="shared" si="8"/>
        <v>0</v>
      </c>
      <c r="T93" s="8">
        <f t="shared" si="9"/>
        <v>0</v>
      </c>
      <c r="U93" s="13">
        <f t="shared" si="10"/>
        <v>0</v>
      </c>
      <c r="V93" s="12">
        <f t="shared" si="10"/>
        <v>0</v>
      </c>
      <c r="W93" s="13">
        <f t="shared" si="11"/>
        <v>0</v>
      </c>
    </row>
    <row r="94" spans="1:23" x14ac:dyDescent="0.2">
      <c r="A94" s="25" t="s">
        <v>129</v>
      </c>
      <c r="B94" s="25" t="s">
        <v>137</v>
      </c>
      <c r="C94" s="25">
        <v>330</v>
      </c>
      <c r="D94" s="25" t="s">
        <v>55</v>
      </c>
      <c r="E94" s="25" t="s">
        <v>31</v>
      </c>
      <c r="F94" s="25">
        <v>201807</v>
      </c>
      <c r="G94" s="13">
        <v>0</v>
      </c>
      <c r="H94" s="13">
        <v>0</v>
      </c>
      <c r="I94" s="13">
        <v>0</v>
      </c>
      <c r="J94" s="12">
        <v>0</v>
      </c>
      <c r="K94" s="13">
        <v>0</v>
      </c>
      <c r="L94" s="13">
        <v>0</v>
      </c>
      <c r="M94" s="12">
        <v>0</v>
      </c>
      <c r="N94" s="13">
        <v>0</v>
      </c>
      <c r="O94" s="13">
        <f t="shared" si="6"/>
        <v>0</v>
      </c>
      <c r="P94" s="12">
        <f t="shared" si="7"/>
        <v>0</v>
      </c>
      <c r="Q94" s="13">
        <f t="shared" si="7"/>
        <v>0</v>
      </c>
      <c r="R94" s="8">
        <f t="shared" si="8"/>
        <v>0</v>
      </c>
      <c r="S94" s="11">
        <f t="shared" si="8"/>
        <v>0</v>
      </c>
      <c r="T94" s="8">
        <f t="shared" si="9"/>
        <v>0</v>
      </c>
      <c r="U94" s="13">
        <f t="shared" si="10"/>
        <v>0</v>
      </c>
      <c r="V94" s="12">
        <f t="shared" si="10"/>
        <v>0</v>
      </c>
      <c r="W94" s="13">
        <f t="shared" si="11"/>
        <v>0</v>
      </c>
    </row>
    <row r="95" spans="1:23" x14ac:dyDescent="0.2">
      <c r="A95" s="25" t="s">
        <v>129</v>
      </c>
      <c r="B95" s="25" t="s">
        <v>137</v>
      </c>
      <c r="C95" s="25">
        <v>330</v>
      </c>
      <c r="D95" s="25" t="s">
        <v>55</v>
      </c>
      <c r="E95" s="25" t="s">
        <v>31</v>
      </c>
      <c r="F95" s="25">
        <v>201808</v>
      </c>
      <c r="G95" s="13">
        <v>0</v>
      </c>
      <c r="H95" s="13">
        <v>0</v>
      </c>
      <c r="I95" s="13">
        <v>0</v>
      </c>
      <c r="J95" s="12">
        <v>0</v>
      </c>
      <c r="K95" s="13">
        <v>0</v>
      </c>
      <c r="L95" s="13">
        <v>0</v>
      </c>
      <c r="M95" s="12">
        <v>0</v>
      </c>
      <c r="N95" s="13">
        <v>0</v>
      </c>
      <c r="O95" s="13">
        <f t="shared" si="6"/>
        <v>0</v>
      </c>
      <c r="P95" s="12">
        <f t="shared" si="7"/>
        <v>0</v>
      </c>
      <c r="Q95" s="13">
        <f t="shared" si="7"/>
        <v>0</v>
      </c>
      <c r="R95" s="8">
        <f t="shared" si="8"/>
        <v>0</v>
      </c>
      <c r="S95" s="11">
        <f t="shared" si="8"/>
        <v>0</v>
      </c>
      <c r="T95" s="8">
        <f t="shared" si="9"/>
        <v>0</v>
      </c>
      <c r="U95" s="13">
        <f t="shared" si="10"/>
        <v>0</v>
      </c>
      <c r="V95" s="12">
        <f t="shared" si="10"/>
        <v>0</v>
      </c>
      <c r="W95" s="13">
        <f t="shared" si="11"/>
        <v>0</v>
      </c>
    </row>
    <row r="96" spans="1:23" x14ac:dyDescent="0.2">
      <c r="A96" s="25" t="s">
        <v>129</v>
      </c>
      <c r="B96" s="25" t="s">
        <v>137</v>
      </c>
      <c r="C96" s="25">
        <v>330</v>
      </c>
      <c r="D96" s="25" t="s">
        <v>55</v>
      </c>
      <c r="E96" s="25" t="s">
        <v>31</v>
      </c>
      <c r="F96" s="25">
        <v>201809</v>
      </c>
      <c r="G96" s="13">
        <v>0</v>
      </c>
      <c r="H96" s="13">
        <v>0</v>
      </c>
      <c r="I96" s="13">
        <v>0</v>
      </c>
      <c r="J96" s="12">
        <v>0</v>
      </c>
      <c r="K96" s="13">
        <v>0</v>
      </c>
      <c r="L96" s="13">
        <v>0</v>
      </c>
      <c r="M96" s="12">
        <v>0</v>
      </c>
      <c r="N96" s="13">
        <v>0</v>
      </c>
      <c r="O96" s="13">
        <f t="shared" si="6"/>
        <v>0</v>
      </c>
      <c r="P96" s="12">
        <f t="shared" si="7"/>
        <v>0</v>
      </c>
      <c r="Q96" s="13">
        <f t="shared" si="7"/>
        <v>0</v>
      </c>
      <c r="R96" s="8">
        <f t="shared" si="8"/>
        <v>0</v>
      </c>
      <c r="S96" s="11">
        <f t="shared" si="8"/>
        <v>0</v>
      </c>
      <c r="T96" s="8">
        <f t="shared" si="9"/>
        <v>0</v>
      </c>
      <c r="U96" s="13">
        <f t="shared" si="10"/>
        <v>0</v>
      </c>
      <c r="V96" s="12">
        <f t="shared" si="10"/>
        <v>0</v>
      </c>
      <c r="W96" s="13">
        <f t="shared" si="11"/>
        <v>0</v>
      </c>
    </row>
    <row r="97" spans="1:23" x14ac:dyDescent="0.2">
      <c r="A97" s="25" t="s">
        <v>129</v>
      </c>
      <c r="B97" s="25" t="s">
        <v>137</v>
      </c>
      <c r="C97" s="25">
        <v>330</v>
      </c>
      <c r="D97" s="25" t="s">
        <v>55</v>
      </c>
      <c r="E97" s="25" t="s">
        <v>31</v>
      </c>
      <c r="F97" s="25">
        <v>201810</v>
      </c>
      <c r="G97" s="13">
        <v>0</v>
      </c>
      <c r="H97" s="13">
        <v>0</v>
      </c>
      <c r="I97" s="13">
        <v>0</v>
      </c>
      <c r="J97" s="12">
        <v>0</v>
      </c>
      <c r="K97" s="13">
        <v>0</v>
      </c>
      <c r="L97" s="13">
        <v>0</v>
      </c>
      <c r="M97" s="12">
        <v>0</v>
      </c>
      <c r="N97" s="13">
        <v>0</v>
      </c>
      <c r="O97" s="13">
        <f t="shared" si="6"/>
        <v>0</v>
      </c>
      <c r="P97" s="12">
        <f t="shared" si="7"/>
        <v>0</v>
      </c>
      <c r="Q97" s="13">
        <f t="shared" si="7"/>
        <v>0</v>
      </c>
      <c r="R97" s="8">
        <f t="shared" si="8"/>
        <v>0</v>
      </c>
      <c r="S97" s="11">
        <f t="shared" si="8"/>
        <v>0</v>
      </c>
      <c r="T97" s="8">
        <f t="shared" si="9"/>
        <v>0</v>
      </c>
      <c r="U97" s="13">
        <f t="shared" si="10"/>
        <v>0</v>
      </c>
      <c r="V97" s="12">
        <f t="shared" si="10"/>
        <v>0</v>
      </c>
      <c r="W97" s="13">
        <f t="shared" si="11"/>
        <v>0</v>
      </c>
    </row>
    <row r="98" spans="1:23" x14ac:dyDescent="0.2">
      <c r="A98" s="25" t="s">
        <v>129</v>
      </c>
      <c r="B98" s="25" t="s">
        <v>137</v>
      </c>
      <c r="C98" s="25">
        <v>330</v>
      </c>
      <c r="D98" s="25" t="s">
        <v>55</v>
      </c>
      <c r="E98" s="25" t="s">
        <v>31</v>
      </c>
      <c r="F98" s="25">
        <v>201811</v>
      </c>
      <c r="G98" s="13">
        <v>0</v>
      </c>
      <c r="H98" s="13">
        <v>0</v>
      </c>
      <c r="I98" s="13">
        <v>0</v>
      </c>
      <c r="J98" s="12">
        <v>0</v>
      </c>
      <c r="K98" s="13">
        <v>0</v>
      </c>
      <c r="L98" s="13">
        <v>0</v>
      </c>
      <c r="M98" s="12">
        <v>0</v>
      </c>
      <c r="N98" s="13">
        <v>0</v>
      </c>
      <c r="O98" s="13">
        <f t="shared" si="6"/>
        <v>0</v>
      </c>
      <c r="P98" s="12">
        <f t="shared" si="7"/>
        <v>0</v>
      </c>
      <c r="Q98" s="13">
        <f t="shared" si="7"/>
        <v>0</v>
      </c>
      <c r="R98" s="8">
        <f t="shared" si="8"/>
        <v>0</v>
      </c>
      <c r="S98" s="11">
        <f t="shared" si="8"/>
        <v>0</v>
      </c>
      <c r="T98" s="8">
        <f t="shared" si="9"/>
        <v>0</v>
      </c>
      <c r="U98" s="13">
        <f t="shared" si="10"/>
        <v>0</v>
      </c>
      <c r="V98" s="12">
        <f t="shared" si="10"/>
        <v>0</v>
      </c>
      <c r="W98" s="13">
        <f t="shared" si="11"/>
        <v>0</v>
      </c>
    </row>
    <row r="99" spans="1:23" x14ac:dyDescent="0.2">
      <c r="A99" s="25" t="s">
        <v>129</v>
      </c>
      <c r="B99" s="25" t="s">
        <v>137</v>
      </c>
      <c r="C99" s="25">
        <v>330</v>
      </c>
      <c r="D99" s="25" t="s">
        <v>55</v>
      </c>
      <c r="E99" s="25" t="s">
        <v>31</v>
      </c>
      <c r="F99" s="25">
        <v>201812</v>
      </c>
      <c r="G99" s="13">
        <v>0</v>
      </c>
      <c r="H99" s="13">
        <v>0</v>
      </c>
      <c r="I99" s="13">
        <v>0</v>
      </c>
      <c r="J99" s="12">
        <v>0</v>
      </c>
      <c r="K99" s="13">
        <v>0</v>
      </c>
      <c r="L99" s="13">
        <v>0</v>
      </c>
      <c r="M99" s="12">
        <v>0</v>
      </c>
      <c r="N99" s="13">
        <v>0</v>
      </c>
      <c r="O99" s="13">
        <f t="shared" si="6"/>
        <v>0</v>
      </c>
      <c r="P99" s="12">
        <f t="shared" si="7"/>
        <v>0</v>
      </c>
      <c r="Q99" s="13">
        <f t="shared" si="7"/>
        <v>0</v>
      </c>
      <c r="R99" s="8">
        <f t="shared" si="8"/>
        <v>0</v>
      </c>
      <c r="S99" s="11">
        <f t="shared" si="8"/>
        <v>0</v>
      </c>
      <c r="T99" s="8">
        <f t="shared" si="9"/>
        <v>0</v>
      </c>
      <c r="U99" s="13">
        <f t="shared" si="10"/>
        <v>0</v>
      </c>
      <c r="V99" s="12">
        <f t="shared" si="10"/>
        <v>0</v>
      </c>
      <c r="W99" s="13">
        <f t="shared" si="11"/>
        <v>0</v>
      </c>
    </row>
    <row r="100" spans="1:23" x14ac:dyDescent="0.2">
      <c r="A100" s="25" t="s">
        <v>129</v>
      </c>
      <c r="B100" s="25" t="s">
        <v>138</v>
      </c>
      <c r="C100" s="25">
        <v>337</v>
      </c>
      <c r="D100" s="25" t="s">
        <v>54</v>
      </c>
      <c r="E100" s="25" t="s">
        <v>31</v>
      </c>
      <c r="F100" s="25">
        <v>201807</v>
      </c>
      <c r="G100" s="13">
        <v>0</v>
      </c>
      <c r="H100" s="13">
        <v>0</v>
      </c>
      <c r="I100" s="13">
        <v>0</v>
      </c>
      <c r="J100" s="12">
        <v>0</v>
      </c>
      <c r="K100" s="13">
        <v>0</v>
      </c>
      <c r="L100" s="13">
        <v>0</v>
      </c>
      <c r="M100" s="12">
        <v>0</v>
      </c>
      <c r="N100" s="13">
        <v>0</v>
      </c>
      <c r="O100" s="13">
        <f t="shared" si="6"/>
        <v>0</v>
      </c>
      <c r="P100" s="12">
        <f t="shared" si="7"/>
        <v>0</v>
      </c>
      <c r="Q100" s="13">
        <f t="shared" si="7"/>
        <v>0</v>
      </c>
      <c r="R100" s="8">
        <f t="shared" si="8"/>
        <v>0</v>
      </c>
      <c r="S100" s="11">
        <f t="shared" si="8"/>
        <v>0</v>
      </c>
      <c r="T100" s="8">
        <f t="shared" si="9"/>
        <v>0</v>
      </c>
      <c r="U100" s="13">
        <f t="shared" si="10"/>
        <v>0</v>
      </c>
      <c r="V100" s="12">
        <f t="shared" si="10"/>
        <v>0</v>
      </c>
      <c r="W100" s="13">
        <f t="shared" si="11"/>
        <v>0</v>
      </c>
    </row>
    <row r="101" spans="1:23" x14ac:dyDescent="0.2">
      <c r="A101" s="25" t="s">
        <v>129</v>
      </c>
      <c r="B101" s="25" t="s">
        <v>138</v>
      </c>
      <c r="C101" s="25">
        <v>337</v>
      </c>
      <c r="D101" s="25" t="s">
        <v>54</v>
      </c>
      <c r="E101" s="25" t="s">
        <v>31</v>
      </c>
      <c r="F101" s="25">
        <v>201808</v>
      </c>
      <c r="G101" s="13">
        <v>0</v>
      </c>
      <c r="H101" s="13">
        <v>0</v>
      </c>
      <c r="I101" s="13">
        <v>0</v>
      </c>
      <c r="J101" s="12">
        <v>0</v>
      </c>
      <c r="K101" s="13">
        <v>0</v>
      </c>
      <c r="L101" s="13">
        <v>0</v>
      </c>
      <c r="M101" s="12">
        <v>0</v>
      </c>
      <c r="N101" s="13">
        <v>0</v>
      </c>
      <c r="O101" s="13">
        <f t="shared" si="6"/>
        <v>0</v>
      </c>
      <c r="P101" s="12">
        <f t="shared" si="7"/>
        <v>0</v>
      </c>
      <c r="Q101" s="13">
        <f t="shared" si="7"/>
        <v>0</v>
      </c>
      <c r="R101" s="8">
        <f t="shared" si="8"/>
        <v>0</v>
      </c>
      <c r="S101" s="11">
        <f t="shared" si="8"/>
        <v>0</v>
      </c>
      <c r="T101" s="8">
        <f t="shared" si="9"/>
        <v>0</v>
      </c>
      <c r="U101" s="13">
        <f t="shared" si="10"/>
        <v>0</v>
      </c>
      <c r="V101" s="12">
        <f t="shared" si="10"/>
        <v>0</v>
      </c>
      <c r="W101" s="13">
        <f t="shared" si="11"/>
        <v>0</v>
      </c>
    </row>
    <row r="102" spans="1:23" x14ac:dyDescent="0.2">
      <c r="A102" s="25" t="s">
        <v>129</v>
      </c>
      <c r="B102" s="25" t="s">
        <v>138</v>
      </c>
      <c r="C102" s="25">
        <v>337</v>
      </c>
      <c r="D102" s="25" t="s">
        <v>54</v>
      </c>
      <c r="E102" s="25" t="s">
        <v>31</v>
      </c>
      <c r="F102" s="25">
        <v>201809</v>
      </c>
      <c r="G102" s="13">
        <v>0</v>
      </c>
      <c r="H102" s="13">
        <v>0</v>
      </c>
      <c r="I102" s="13">
        <v>0</v>
      </c>
      <c r="J102" s="12">
        <v>0</v>
      </c>
      <c r="K102" s="13">
        <v>0</v>
      </c>
      <c r="L102" s="13">
        <v>0</v>
      </c>
      <c r="M102" s="12">
        <v>0</v>
      </c>
      <c r="N102" s="13">
        <v>0</v>
      </c>
      <c r="O102" s="13">
        <f t="shared" si="6"/>
        <v>0</v>
      </c>
      <c r="P102" s="12">
        <f t="shared" si="7"/>
        <v>0</v>
      </c>
      <c r="Q102" s="13">
        <f t="shared" si="7"/>
        <v>0</v>
      </c>
      <c r="R102" s="8">
        <f t="shared" si="8"/>
        <v>0</v>
      </c>
      <c r="S102" s="11">
        <f t="shared" si="8"/>
        <v>0</v>
      </c>
      <c r="T102" s="8">
        <f t="shared" si="9"/>
        <v>0</v>
      </c>
      <c r="U102" s="13">
        <f t="shared" si="10"/>
        <v>0</v>
      </c>
      <c r="V102" s="12">
        <f t="shared" si="10"/>
        <v>0</v>
      </c>
      <c r="W102" s="13">
        <f t="shared" si="11"/>
        <v>0</v>
      </c>
    </row>
    <row r="103" spans="1:23" x14ac:dyDescent="0.2">
      <c r="A103" s="25" t="s">
        <v>129</v>
      </c>
      <c r="B103" s="25" t="s">
        <v>138</v>
      </c>
      <c r="C103" s="25">
        <v>337</v>
      </c>
      <c r="D103" s="25" t="s">
        <v>54</v>
      </c>
      <c r="E103" s="25" t="s">
        <v>31</v>
      </c>
      <c r="F103" s="25">
        <v>201810</v>
      </c>
      <c r="G103" s="13">
        <v>0</v>
      </c>
      <c r="H103" s="13">
        <v>0</v>
      </c>
      <c r="I103" s="13">
        <v>0</v>
      </c>
      <c r="J103" s="12">
        <v>0</v>
      </c>
      <c r="K103" s="13">
        <v>0</v>
      </c>
      <c r="L103" s="13">
        <v>0</v>
      </c>
      <c r="M103" s="12">
        <v>0</v>
      </c>
      <c r="N103" s="13">
        <v>0</v>
      </c>
      <c r="O103" s="13">
        <f t="shared" si="6"/>
        <v>0</v>
      </c>
      <c r="P103" s="12">
        <f t="shared" si="7"/>
        <v>0</v>
      </c>
      <c r="Q103" s="13">
        <f t="shared" si="7"/>
        <v>0</v>
      </c>
      <c r="R103" s="8">
        <f t="shared" si="8"/>
        <v>0</v>
      </c>
      <c r="S103" s="11">
        <f t="shared" si="8"/>
        <v>0</v>
      </c>
      <c r="T103" s="8">
        <f t="shared" si="9"/>
        <v>0</v>
      </c>
      <c r="U103" s="13">
        <f t="shared" si="10"/>
        <v>0</v>
      </c>
      <c r="V103" s="12">
        <f t="shared" si="10"/>
        <v>0</v>
      </c>
      <c r="W103" s="13">
        <f t="shared" si="11"/>
        <v>0</v>
      </c>
    </row>
    <row r="104" spans="1:23" x14ac:dyDescent="0.2">
      <c r="A104" s="25" t="s">
        <v>129</v>
      </c>
      <c r="B104" s="25" t="s">
        <v>138</v>
      </c>
      <c r="C104" s="25">
        <v>337</v>
      </c>
      <c r="D104" s="25" t="s">
        <v>54</v>
      </c>
      <c r="E104" s="25" t="s">
        <v>31</v>
      </c>
      <c r="F104" s="25">
        <v>201811</v>
      </c>
      <c r="G104" s="13">
        <v>0</v>
      </c>
      <c r="H104" s="13">
        <v>0</v>
      </c>
      <c r="I104" s="13">
        <v>0</v>
      </c>
      <c r="J104" s="12">
        <v>0</v>
      </c>
      <c r="K104" s="13">
        <v>0</v>
      </c>
      <c r="L104" s="13">
        <v>0</v>
      </c>
      <c r="M104" s="12">
        <v>0</v>
      </c>
      <c r="N104" s="13">
        <v>0</v>
      </c>
      <c r="O104" s="13">
        <f t="shared" si="6"/>
        <v>0</v>
      </c>
      <c r="P104" s="12">
        <f t="shared" si="7"/>
        <v>0</v>
      </c>
      <c r="Q104" s="13">
        <f t="shared" si="7"/>
        <v>0</v>
      </c>
      <c r="R104" s="8">
        <f t="shared" si="8"/>
        <v>0</v>
      </c>
      <c r="S104" s="11">
        <f t="shared" si="8"/>
        <v>0</v>
      </c>
      <c r="T104" s="8">
        <f t="shared" si="9"/>
        <v>0</v>
      </c>
      <c r="U104" s="13">
        <f t="shared" si="10"/>
        <v>0</v>
      </c>
      <c r="V104" s="12">
        <f t="shared" si="10"/>
        <v>0</v>
      </c>
      <c r="W104" s="13">
        <f t="shared" si="11"/>
        <v>0</v>
      </c>
    </row>
    <row r="105" spans="1:23" x14ac:dyDescent="0.2">
      <c r="A105" s="25" t="s">
        <v>129</v>
      </c>
      <c r="B105" s="25" t="s">
        <v>138</v>
      </c>
      <c r="C105" s="25">
        <v>337</v>
      </c>
      <c r="D105" s="25" t="s">
        <v>54</v>
      </c>
      <c r="E105" s="25" t="s">
        <v>31</v>
      </c>
      <c r="F105" s="25">
        <v>201812</v>
      </c>
      <c r="G105" s="13">
        <v>0</v>
      </c>
      <c r="H105" s="13">
        <v>0</v>
      </c>
      <c r="I105" s="13">
        <v>0</v>
      </c>
      <c r="J105" s="12">
        <v>0</v>
      </c>
      <c r="K105" s="13">
        <v>0</v>
      </c>
      <c r="L105" s="13">
        <v>0</v>
      </c>
      <c r="M105" s="12">
        <v>0</v>
      </c>
      <c r="N105" s="13">
        <v>0</v>
      </c>
      <c r="O105" s="13">
        <f t="shared" si="6"/>
        <v>0</v>
      </c>
      <c r="P105" s="12">
        <f t="shared" si="7"/>
        <v>0</v>
      </c>
      <c r="Q105" s="13">
        <f t="shared" si="7"/>
        <v>0</v>
      </c>
      <c r="R105" s="8">
        <f t="shared" si="8"/>
        <v>0</v>
      </c>
      <c r="S105" s="11">
        <f t="shared" si="8"/>
        <v>0</v>
      </c>
      <c r="T105" s="8">
        <f t="shared" si="9"/>
        <v>0</v>
      </c>
      <c r="U105" s="13">
        <f t="shared" si="10"/>
        <v>0</v>
      </c>
      <c r="V105" s="12">
        <f t="shared" si="10"/>
        <v>0</v>
      </c>
      <c r="W105" s="13">
        <f t="shared" si="11"/>
        <v>0</v>
      </c>
    </row>
    <row r="106" spans="1:23" x14ac:dyDescent="0.2">
      <c r="A106" s="25" t="s">
        <v>129</v>
      </c>
      <c r="B106" s="25" t="s">
        <v>138</v>
      </c>
      <c r="C106" s="25">
        <v>337</v>
      </c>
      <c r="D106" s="25" t="s">
        <v>55</v>
      </c>
      <c r="E106" s="25" t="s">
        <v>31</v>
      </c>
      <c r="F106" s="25">
        <v>201807</v>
      </c>
      <c r="G106" s="13">
        <v>0</v>
      </c>
      <c r="H106" s="13">
        <v>0</v>
      </c>
      <c r="I106" s="13">
        <v>0</v>
      </c>
      <c r="J106" s="12">
        <v>0</v>
      </c>
      <c r="K106" s="13">
        <v>0</v>
      </c>
      <c r="L106" s="13">
        <v>0</v>
      </c>
      <c r="M106" s="12">
        <v>0</v>
      </c>
      <c r="N106" s="13">
        <v>0</v>
      </c>
      <c r="O106" s="13">
        <f t="shared" si="6"/>
        <v>0</v>
      </c>
      <c r="P106" s="12">
        <f t="shared" si="7"/>
        <v>0</v>
      </c>
      <c r="Q106" s="13">
        <f t="shared" si="7"/>
        <v>0</v>
      </c>
      <c r="R106" s="8">
        <f t="shared" si="8"/>
        <v>0</v>
      </c>
      <c r="S106" s="11">
        <f t="shared" si="8"/>
        <v>0</v>
      </c>
      <c r="T106" s="8">
        <f t="shared" si="9"/>
        <v>0</v>
      </c>
      <c r="U106" s="13">
        <f t="shared" si="10"/>
        <v>0</v>
      </c>
      <c r="V106" s="12">
        <f t="shared" si="10"/>
        <v>0</v>
      </c>
      <c r="W106" s="13">
        <f t="shared" si="11"/>
        <v>0</v>
      </c>
    </row>
    <row r="107" spans="1:23" x14ac:dyDescent="0.2">
      <c r="A107" s="25" t="s">
        <v>129</v>
      </c>
      <c r="B107" s="25" t="s">
        <v>138</v>
      </c>
      <c r="C107" s="25">
        <v>337</v>
      </c>
      <c r="D107" s="25" t="s">
        <v>55</v>
      </c>
      <c r="E107" s="25" t="s">
        <v>31</v>
      </c>
      <c r="F107" s="25">
        <v>201808</v>
      </c>
      <c r="G107" s="13">
        <v>0</v>
      </c>
      <c r="H107" s="13">
        <v>0</v>
      </c>
      <c r="I107" s="13">
        <v>0</v>
      </c>
      <c r="J107" s="12">
        <v>0</v>
      </c>
      <c r="K107" s="13">
        <v>0</v>
      </c>
      <c r="L107" s="13">
        <v>0</v>
      </c>
      <c r="M107" s="12">
        <v>0</v>
      </c>
      <c r="N107" s="13">
        <v>0</v>
      </c>
      <c r="O107" s="13">
        <f t="shared" si="6"/>
        <v>0</v>
      </c>
      <c r="P107" s="12">
        <f t="shared" si="7"/>
        <v>0</v>
      </c>
      <c r="Q107" s="13">
        <f t="shared" si="7"/>
        <v>0</v>
      </c>
      <c r="R107" s="8">
        <f t="shared" si="8"/>
        <v>0</v>
      </c>
      <c r="S107" s="11">
        <f t="shared" si="8"/>
        <v>0</v>
      </c>
      <c r="T107" s="8">
        <f t="shared" si="9"/>
        <v>0</v>
      </c>
      <c r="U107" s="13">
        <f t="shared" si="10"/>
        <v>0</v>
      </c>
      <c r="V107" s="12">
        <f t="shared" si="10"/>
        <v>0</v>
      </c>
      <c r="W107" s="13">
        <f t="shared" si="11"/>
        <v>0</v>
      </c>
    </row>
    <row r="108" spans="1:23" x14ac:dyDescent="0.2">
      <c r="A108" s="25" t="s">
        <v>129</v>
      </c>
      <c r="B108" s="25" t="s">
        <v>138</v>
      </c>
      <c r="C108" s="25">
        <v>337</v>
      </c>
      <c r="D108" s="25" t="s">
        <v>55</v>
      </c>
      <c r="E108" s="25" t="s">
        <v>31</v>
      </c>
      <c r="F108" s="25">
        <v>201809</v>
      </c>
      <c r="G108" s="13">
        <v>0</v>
      </c>
      <c r="H108" s="13">
        <v>0</v>
      </c>
      <c r="I108" s="13">
        <v>0</v>
      </c>
      <c r="J108" s="12">
        <v>0</v>
      </c>
      <c r="K108" s="13">
        <v>0</v>
      </c>
      <c r="L108" s="13">
        <v>0</v>
      </c>
      <c r="M108" s="12">
        <v>0</v>
      </c>
      <c r="N108" s="13">
        <v>0</v>
      </c>
      <c r="O108" s="13">
        <f t="shared" si="6"/>
        <v>0</v>
      </c>
      <c r="P108" s="12">
        <f t="shared" si="7"/>
        <v>0</v>
      </c>
      <c r="Q108" s="13">
        <f t="shared" si="7"/>
        <v>0</v>
      </c>
      <c r="R108" s="8">
        <f t="shared" si="8"/>
        <v>0</v>
      </c>
      <c r="S108" s="11">
        <f t="shared" si="8"/>
        <v>0</v>
      </c>
      <c r="T108" s="8">
        <f t="shared" si="9"/>
        <v>0</v>
      </c>
      <c r="U108" s="13">
        <f t="shared" si="10"/>
        <v>0</v>
      </c>
      <c r="V108" s="12">
        <f t="shared" si="10"/>
        <v>0</v>
      </c>
      <c r="W108" s="13">
        <f t="shared" si="11"/>
        <v>0</v>
      </c>
    </row>
    <row r="109" spans="1:23" x14ac:dyDescent="0.2">
      <c r="A109" s="25" t="s">
        <v>129</v>
      </c>
      <c r="B109" s="25" t="s">
        <v>138</v>
      </c>
      <c r="C109" s="25">
        <v>337</v>
      </c>
      <c r="D109" s="25" t="s">
        <v>55</v>
      </c>
      <c r="E109" s="25" t="s">
        <v>31</v>
      </c>
      <c r="F109" s="25">
        <v>201810</v>
      </c>
      <c r="G109" s="13">
        <v>0</v>
      </c>
      <c r="H109" s="13">
        <v>0</v>
      </c>
      <c r="I109" s="13">
        <v>0</v>
      </c>
      <c r="J109" s="12">
        <v>0</v>
      </c>
      <c r="K109" s="13">
        <v>0</v>
      </c>
      <c r="L109" s="13">
        <v>0</v>
      </c>
      <c r="M109" s="12">
        <v>0</v>
      </c>
      <c r="N109" s="13">
        <v>0</v>
      </c>
      <c r="O109" s="13">
        <f t="shared" si="6"/>
        <v>0</v>
      </c>
      <c r="P109" s="12">
        <f t="shared" si="7"/>
        <v>0</v>
      </c>
      <c r="Q109" s="13">
        <f t="shared" si="7"/>
        <v>0</v>
      </c>
      <c r="R109" s="8">
        <f t="shared" si="8"/>
        <v>0</v>
      </c>
      <c r="S109" s="11">
        <f t="shared" si="8"/>
        <v>0</v>
      </c>
      <c r="T109" s="8">
        <f t="shared" si="9"/>
        <v>0</v>
      </c>
      <c r="U109" s="13">
        <f t="shared" si="10"/>
        <v>0</v>
      </c>
      <c r="V109" s="12">
        <f t="shared" si="10"/>
        <v>0</v>
      </c>
      <c r="W109" s="13">
        <f t="shared" si="11"/>
        <v>0</v>
      </c>
    </row>
    <row r="110" spans="1:23" x14ac:dyDescent="0.2">
      <c r="A110" s="25" t="s">
        <v>129</v>
      </c>
      <c r="B110" s="25" t="s">
        <v>138</v>
      </c>
      <c r="C110" s="25">
        <v>337</v>
      </c>
      <c r="D110" s="25" t="s">
        <v>55</v>
      </c>
      <c r="E110" s="25" t="s">
        <v>31</v>
      </c>
      <c r="F110" s="25">
        <v>201811</v>
      </c>
      <c r="G110" s="13">
        <v>0</v>
      </c>
      <c r="H110" s="13">
        <v>0</v>
      </c>
      <c r="I110" s="13">
        <v>0</v>
      </c>
      <c r="J110" s="12">
        <v>0</v>
      </c>
      <c r="K110" s="13">
        <v>0</v>
      </c>
      <c r="L110" s="13">
        <v>0</v>
      </c>
      <c r="M110" s="12">
        <v>0</v>
      </c>
      <c r="N110" s="13">
        <v>0</v>
      </c>
      <c r="O110" s="13">
        <f t="shared" si="6"/>
        <v>0</v>
      </c>
      <c r="P110" s="12">
        <f t="shared" si="7"/>
        <v>0</v>
      </c>
      <c r="Q110" s="13">
        <f t="shared" si="7"/>
        <v>0</v>
      </c>
      <c r="R110" s="8">
        <f t="shared" si="8"/>
        <v>0</v>
      </c>
      <c r="S110" s="11">
        <f t="shared" si="8"/>
        <v>0</v>
      </c>
      <c r="T110" s="8">
        <f t="shared" si="9"/>
        <v>0</v>
      </c>
      <c r="U110" s="13">
        <f t="shared" si="10"/>
        <v>0</v>
      </c>
      <c r="V110" s="12">
        <f t="shared" si="10"/>
        <v>0</v>
      </c>
      <c r="W110" s="13">
        <f t="shared" si="11"/>
        <v>0</v>
      </c>
    </row>
    <row r="111" spans="1:23" x14ac:dyDescent="0.2">
      <c r="A111" s="25" t="s">
        <v>129</v>
      </c>
      <c r="B111" s="25" t="s">
        <v>138</v>
      </c>
      <c r="C111" s="25">
        <v>337</v>
      </c>
      <c r="D111" s="25" t="s">
        <v>55</v>
      </c>
      <c r="E111" s="25" t="s">
        <v>31</v>
      </c>
      <c r="F111" s="25">
        <v>201812</v>
      </c>
      <c r="G111" s="13">
        <v>0</v>
      </c>
      <c r="H111" s="13">
        <v>0</v>
      </c>
      <c r="I111" s="13">
        <v>0</v>
      </c>
      <c r="J111" s="12">
        <v>0</v>
      </c>
      <c r="K111" s="13">
        <v>0</v>
      </c>
      <c r="L111" s="13">
        <v>0</v>
      </c>
      <c r="M111" s="12">
        <v>0</v>
      </c>
      <c r="N111" s="13">
        <v>0</v>
      </c>
      <c r="O111" s="13">
        <f t="shared" si="6"/>
        <v>0</v>
      </c>
      <c r="P111" s="12">
        <f t="shared" si="7"/>
        <v>0</v>
      </c>
      <c r="Q111" s="13">
        <f t="shared" si="7"/>
        <v>0</v>
      </c>
      <c r="R111" s="8">
        <f t="shared" si="8"/>
        <v>0</v>
      </c>
      <c r="S111" s="11">
        <f t="shared" si="8"/>
        <v>0</v>
      </c>
      <c r="T111" s="8">
        <f t="shared" si="9"/>
        <v>0</v>
      </c>
      <c r="U111" s="13">
        <f t="shared" si="10"/>
        <v>0</v>
      </c>
      <c r="V111" s="12">
        <f t="shared" si="10"/>
        <v>0</v>
      </c>
      <c r="W111" s="13">
        <f t="shared" si="11"/>
        <v>0</v>
      </c>
    </row>
    <row r="112" spans="1:23" x14ac:dyDescent="0.2">
      <c r="A112" s="25" t="s">
        <v>129</v>
      </c>
      <c r="B112" s="25" t="s">
        <v>139</v>
      </c>
      <c r="C112" s="25">
        <v>340</v>
      </c>
      <c r="D112" s="25" t="s">
        <v>54</v>
      </c>
      <c r="E112" s="25" t="s">
        <v>31</v>
      </c>
      <c r="F112" s="25">
        <v>201807</v>
      </c>
      <c r="G112" s="13">
        <v>0</v>
      </c>
      <c r="H112" s="13">
        <v>0</v>
      </c>
      <c r="I112" s="13">
        <v>0</v>
      </c>
      <c r="J112" s="12">
        <v>0</v>
      </c>
      <c r="K112" s="13">
        <v>0</v>
      </c>
      <c r="L112" s="13">
        <v>0</v>
      </c>
      <c r="M112" s="12">
        <v>0</v>
      </c>
      <c r="N112" s="13">
        <v>0</v>
      </c>
      <c r="O112" s="13">
        <f t="shared" si="6"/>
        <v>0</v>
      </c>
      <c r="P112" s="12">
        <f t="shared" si="7"/>
        <v>0</v>
      </c>
      <c r="Q112" s="13">
        <f t="shared" si="7"/>
        <v>0</v>
      </c>
      <c r="R112" s="8">
        <f t="shared" si="8"/>
        <v>0</v>
      </c>
      <c r="S112" s="11">
        <f t="shared" si="8"/>
        <v>0</v>
      </c>
      <c r="T112" s="8">
        <f t="shared" si="9"/>
        <v>0</v>
      </c>
      <c r="U112" s="13">
        <f t="shared" si="10"/>
        <v>0</v>
      </c>
      <c r="V112" s="12">
        <f t="shared" si="10"/>
        <v>0</v>
      </c>
      <c r="W112" s="13">
        <f t="shared" si="11"/>
        <v>0</v>
      </c>
    </row>
    <row r="113" spans="1:23" x14ac:dyDescent="0.2">
      <c r="A113" s="25" t="s">
        <v>129</v>
      </c>
      <c r="B113" s="25" t="s">
        <v>139</v>
      </c>
      <c r="C113" s="25">
        <v>340</v>
      </c>
      <c r="D113" s="25" t="s">
        <v>54</v>
      </c>
      <c r="E113" s="25" t="s">
        <v>31</v>
      </c>
      <c r="F113" s="25">
        <v>201808</v>
      </c>
      <c r="G113" s="13">
        <v>0</v>
      </c>
      <c r="H113" s="13">
        <v>0</v>
      </c>
      <c r="I113" s="13">
        <v>0</v>
      </c>
      <c r="J113" s="12">
        <v>0</v>
      </c>
      <c r="K113" s="13">
        <v>0</v>
      </c>
      <c r="L113" s="13">
        <v>0</v>
      </c>
      <c r="M113" s="12">
        <v>0</v>
      </c>
      <c r="N113" s="13">
        <v>0</v>
      </c>
      <c r="O113" s="13">
        <f t="shared" si="6"/>
        <v>0</v>
      </c>
      <c r="P113" s="12">
        <f t="shared" si="7"/>
        <v>0</v>
      </c>
      <c r="Q113" s="13">
        <f t="shared" si="7"/>
        <v>0</v>
      </c>
      <c r="R113" s="8">
        <f t="shared" si="8"/>
        <v>0</v>
      </c>
      <c r="S113" s="11">
        <f t="shared" si="8"/>
        <v>0</v>
      </c>
      <c r="T113" s="8">
        <f t="shared" si="9"/>
        <v>0</v>
      </c>
      <c r="U113" s="13">
        <f t="shared" si="10"/>
        <v>0</v>
      </c>
      <c r="V113" s="12">
        <f t="shared" si="10"/>
        <v>0</v>
      </c>
      <c r="W113" s="13">
        <f t="shared" si="11"/>
        <v>0</v>
      </c>
    </row>
    <row r="114" spans="1:23" x14ac:dyDescent="0.2">
      <c r="A114" s="25" t="s">
        <v>129</v>
      </c>
      <c r="B114" s="25" t="s">
        <v>139</v>
      </c>
      <c r="C114" s="25">
        <v>340</v>
      </c>
      <c r="D114" s="25" t="s">
        <v>54</v>
      </c>
      <c r="E114" s="25" t="s">
        <v>31</v>
      </c>
      <c r="F114" s="25">
        <v>201809</v>
      </c>
      <c r="G114" s="13">
        <v>0</v>
      </c>
      <c r="H114" s="13">
        <v>0</v>
      </c>
      <c r="I114" s="13">
        <v>0</v>
      </c>
      <c r="J114" s="12">
        <v>0</v>
      </c>
      <c r="K114" s="13">
        <v>0</v>
      </c>
      <c r="L114" s="13">
        <v>0</v>
      </c>
      <c r="M114" s="12">
        <v>0</v>
      </c>
      <c r="N114" s="13">
        <v>0</v>
      </c>
      <c r="O114" s="13">
        <f t="shared" si="6"/>
        <v>0</v>
      </c>
      <c r="P114" s="12">
        <f t="shared" si="7"/>
        <v>0</v>
      </c>
      <c r="Q114" s="13">
        <f t="shared" si="7"/>
        <v>0</v>
      </c>
      <c r="R114" s="8">
        <f t="shared" si="8"/>
        <v>0</v>
      </c>
      <c r="S114" s="11">
        <f t="shared" si="8"/>
        <v>0</v>
      </c>
      <c r="T114" s="8">
        <f t="shared" si="9"/>
        <v>0</v>
      </c>
      <c r="U114" s="13">
        <f t="shared" si="10"/>
        <v>0</v>
      </c>
      <c r="V114" s="12">
        <f t="shared" si="10"/>
        <v>0</v>
      </c>
      <c r="W114" s="13">
        <f t="shared" si="11"/>
        <v>0</v>
      </c>
    </row>
    <row r="115" spans="1:23" x14ac:dyDescent="0.2">
      <c r="A115" s="25" t="s">
        <v>129</v>
      </c>
      <c r="B115" s="25" t="s">
        <v>139</v>
      </c>
      <c r="C115" s="25">
        <v>340</v>
      </c>
      <c r="D115" s="25" t="s">
        <v>54</v>
      </c>
      <c r="E115" s="25" t="s">
        <v>31</v>
      </c>
      <c r="F115" s="25">
        <v>201810</v>
      </c>
      <c r="G115" s="13">
        <v>0</v>
      </c>
      <c r="H115" s="13">
        <v>0</v>
      </c>
      <c r="I115" s="13">
        <v>0</v>
      </c>
      <c r="J115" s="12">
        <v>0</v>
      </c>
      <c r="K115" s="13">
        <v>0</v>
      </c>
      <c r="L115" s="13">
        <v>0</v>
      </c>
      <c r="M115" s="12">
        <v>0</v>
      </c>
      <c r="N115" s="13">
        <v>0</v>
      </c>
      <c r="O115" s="13">
        <f t="shared" si="6"/>
        <v>0</v>
      </c>
      <c r="P115" s="12">
        <f t="shared" si="7"/>
        <v>0</v>
      </c>
      <c r="Q115" s="13">
        <f t="shared" si="7"/>
        <v>0</v>
      </c>
      <c r="R115" s="8">
        <f t="shared" si="8"/>
        <v>0</v>
      </c>
      <c r="S115" s="11">
        <f t="shared" si="8"/>
        <v>0</v>
      </c>
      <c r="T115" s="8">
        <f t="shared" si="9"/>
        <v>0</v>
      </c>
      <c r="U115" s="13">
        <f t="shared" si="10"/>
        <v>0</v>
      </c>
      <c r="V115" s="12">
        <f t="shared" si="10"/>
        <v>0</v>
      </c>
      <c r="W115" s="13">
        <f t="shared" si="11"/>
        <v>0</v>
      </c>
    </row>
    <row r="116" spans="1:23" x14ac:dyDescent="0.2">
      <c r="A116" s="25" t="s">
        <v>129</v>
      </c>
      <c r="B116" s="25" t="s">
        <v>139</v>
      </c>
      <c r="C116" s="25">
        <v>340</v>
      </c>
      <c r="D116" s="25" t="s">
        <v>54</v>
      </c>
      <c r="E116" s="25" t="s">
        <v>31</v>
      </c>
      <c r="F116" s="25">
        <v>201811</v>
      </c>
      <c r="G116" s="13">
        <v>0</v>
      </c>
      <c r="H116" s="13">
        <v>0</v>
      </c>
      <c r="I116" s="13">
        <v>0</v>
      </c>
      <c r="J116" s="12">
        <v>0</v>
      </c>
      <c r="K116" s="13">
        <v>0</v>
      </c>
      <c r="L116" s="13">
        <v>0</v>
      </c>
      <c r="M116" s="12">
        <v>0</v>
      </c>
      <c r="N116" s="13">
        <v>0</v>
      </c>
      <c r="O116" s="13">
        <f t="shared" si="6"/>
        <v>0</v>
      </c>
      <c r="P116" s="12">
        <f t="shared" si="7"/>
        <v>0</v>
      </c>
      <c r="Q116" s="13">
        <f t="shared" si="7"/>
        <v>0</v>
      </c>
      <c r="R116" s="8">
        <f t="shared" si="8"/>
        <v>0</v>
      </c>
      <c r="S116" s="11">
        <f t="shared" si="8"/>
        <v>0</v>
      </c>
      <c r="T116" s="8">
        <f t="shared" si="9"/>
        <v>0</v>
      </c>
      <c r="U116" s="13">
        <f t="shared" si="10"/>
        <v>0</v>
      </c>
      <c r="V116" s="12">
        <f t="shared" si="10"/>
        <v>0</v>
      </c>
      <c r="W116" s="13">
        <f t="shared" si="11"/>
        <v>0</v>
      </c>
    </row>
    <row r="117" spans="1:23" x14ac:dyDescent="0.2">
      <c r="A117" s="25" t="s">
        <v>129</v>
      </c>
      <c r="B117" s="25" t="s">
        <v>139</v>
      </c>
      <c r="C117" s="25">
        <v>340</v>
      </c>
      <c r="D117" s="25" t="s">
        <v>54</v>
      </c>
      <c r="E117" s="25" t="s">
        <v>31</v>
      </c>
      <c r="F117" s="25">
        <v>201812</v>
      </c>
      <c r="G117" s="13">
        <v>0</v>
      </c>
      <c r="H117" s="13">
        <v>0</v>
      </c>
      <c r="I117" s="13">
        <v>0</v>
      </c>
      <c r="J117" s="12">
        <v>0</v>
      </c>
      <c r="K117" s="13">
        <v>0</v>
      </c>
      <c r="L117" s="13">
        <v>0</v>
      </c>
      <c r="M117" s="12">
        <v>0</v>
      </c>
      <c r="N117" s="13">
        <v>0</v>
      </c>
      <c r="O117" s="13">
        <f t="shared" si="6"/>
        <v>0</v>
      </c>
      <c r="P117" s="12">
        <f t="shared" si="7"/>
        <v>0</v>
      </c>
      <c r="Q117" s="13">
        <f t="shared" si="7"/>
        <v>0</v>
      </c>
      <c r="R117" s="8">
        <f t="shared" si="8"/>
        <v>0</v>
      </c>
      <c r="S117" s="11">
        <f t="shared" si="8"/>
        <v>0</v>
      </c>
      <c r="T117" s="8">
        <f t="shared" si="9"/>
        <v>0</v>
      </c>
      <c r="U117" s="13">
        <f t="shared" si="10"/>
        <v>0</v>
      </c>
      <c r="V117" s="12">
        <f t="shared" si="10"/>
        <v>0</v>
      </c>
      <c r="W117" s="13">
        <f t="shared" si="11"/>
        <v>0</v>
      </c>
    </row>
    <row r="118" spans="1:23" x14ac:dyDescent="0.2">
      <c r="A118" s="25" t="s">
        <v>129</v>
      </c>
      <c r="B118" s="25" t="s">
        <v>139</v>
      </c>
      <c r="C118" s="25">
        <v>340</v>
      </c>
      <c r="D118" s="25" t="s">
        <v>55</v>
      </c>
      <c r="E118" s="25" t="s">
        <v>31</v>
      </c>
      <c r="F118" s="25">
        <v>201807</v>
      </c>
      <c r="G118" s="13">
        <v>0</v>
      </c>
      <c r="H118" s="13">
        <v>0</v>
      </c>
      <c r="I118" s="13">
        <v>0</v>
      </c>
      <c r="J118" s="12">
        <v>0</v>
      </c>
      <c r="K118" s="13">
        <v>0</v>
      </c>
      <c r="L118" s="13">
        <v>0</v>
      </c>
      <c r="M118" s="12">
        <v>0</v>
      </c>
      <c r="N118" s="13">
        <v>0</v>
      </c>
      <c r="O118" s="13">
        <f t="shared" si="6"/>
        <v>0</v>
      </c>
      <c r="P118" s="12">
        <f t="shared" si="7"/>
        <v>0</v>
      </c>
      <c r="Q118" s="13">
        <f t="shared" si="7"/>
        <v>0</v>
      </c>
      <c r="R118" s="8">
        <f t="shared" si="8"/>
        <v>0</v>
      </c>
      <c r="S118" s="11">
        <f t="shared" si="8"/>
        <v>0</v>
      </c>
      <c r="T118" s="8">
        <f t="shared" si="9"/>
        <v>0</v>
      </c>
      <c r="U118" s="13">
        <f t="shared" si="10"/>
        <v>0</v>
      </c>
      <c r="V118" s="12">
        <f t="shared" si="10"/>
        <v>0</v>
      </c>
      <c r="W118" s="13">
        <f t="shared" si="11"/>
        <v>0</v>
      </c>
    </row>
    <row r="119" spans="1:23" x14ac:dyDescent="0.2">
      <c r="A119" s="25" t="s">
        <v>129</v>
      </c>
      <c r="B119" s="25" t="s">
        <v>139</v>
      </c>
      <c r="C119" s="25">
        <v>340</v>
      </c>
      <c r="D119" s="25" t="s">
        <v>55</v>
      </c>
      <c r="E119" s="25" t="s">
        <v>31</v>
      </c>
      <c r="F119" s="25">
        <v>201808</v>
      </c>
      <c r="G119" s="13">
        <v>0</v>
      </c>
      <c r="H119" s="13">
        <v>0</v>
      </c>
      <c r="I119" s="13">
        <v>0</v>
      </c>
      <c r="J119" s="12">
        <v>0</v>
      </c>
      <c r="K119" s="13">
        <v>0</v>
      </c>
      <c r="L119" s="13">
        <v>0</v>
      </c>
      <c r="M119" s="12">
        <v>0</v>
      </c>
      <c r="N119" s="13">
        <v>0</v>
      </c>
      <c r="O119" s="13">
        <f t="shared" si="6"/>
        <v>0</v>
      </c>
      <c r="P119" s="12">
        <f t="shared" si="7"/>
        <v>0</v>
      </c>
      <c r="Q119" s="13">
        <f t="shared" si="7"/>
        <v>0</v>
      </c>
      <c r="R119" s="8">
        <f t="shared" si="8"/>
        <v>0</v>
      </c>
      <c r="S119" s="11">
        <f t="shared" si="8"/>
        <v>0</v>
      </c>
      <c r="T119" s="8">
        <f t="shared" si="9"/>
        <v>0</v>
      </c>
      <c r="U119" s="13">
        <f t="shared" si="10"/>
        <v>0</v>
      </c>
      <c r="V119" s="12">
        <f t="shared" si="10"/>
        <v>0</v>
      </c>
      <c r="W119" s="13">
        <f t="shared" si="11"/>
        <v>0</v>
      </c>
    </row>
    <row r="120" spans="1:23" x14ac:dyDescent="0.2">
      <c r="A120" s="25" t="s">
        <v>129</v>
      </c>
      <c r="B120" s="25" t="s">
        <v>139</v>
      </c>
      <c r="C120" s="25">
        <v>340</v>
      </c>
      <c r="D120" s="25" t="s">
        <v>55</v>
      </c>
      <c r="E120" s="25" t="s">
        <v>31</v>
      </c>
      <c r="F120" s="25">
        <v>201809</v>
      </c>
      <c r="G120" s="13">
        <v>0</v>
      </c>
      <c r="H120" s="13">
        <v>0</v>
      </c>
      <c r="I120" s="13">
        <v>0</v>
      </c>
      <c r="J120" s="12">
        <v>0</v>
      </c>
      <c r="K120" s="13">
        <v>0</v>
      </c>
      <c r="L120" s="13">
        <v>0</v>
      </c>
      <c r="M120" s="12">
        <v>0</v>
      </c>
      <c r="N120" s="13">
        <v>0</v>
      </c>
      <c r="O120" s="13">
        <f t="shared" si="6"/>
        <v>0</v>
      </c>
      <c r="P120" s="12">
        <f t="shared" si="7"/>
        <v>0</v>
      </c>
      <c r="Q120" s="13">
        <f t="shared" si="7"/>
        <v>0</v>
      </c>
      <c r="R120" s="8">
        <f t="shared" si="8"/>
        <v>0</v>
      </c>
      <c r="S120" s="11">
        <f t="shared" si="8"/>
        <v>0</v>
      </c>
      <c r="T120" s="8">
        <f t="shared" si="9"/>
        <v>0</v>
      </c>
      <c r="U120" s="13">
        <f t="shared" si="10"/>
        <v>0</v>
      </c>
      <c r="V120" s="12">
        <f t="shared" si="10"/>
        <v>0</v>
      </c>
      <c r="W120" s="13">
        <f t="shared" si="11"/>
        <v>0</v>
      </c>
    </row>
    <row r="121" spans="1:23" x14ac:dyDescent="0.2">
      <c r="A121" s="25" t="s">
        <v>129</v>
      </c>
      <c r="B121" s="25" t="s">
        <v>139</v>
      </c>
      <c r="C121" s="25">
        <v>340</v>
      </c>
      <c r="D121" s="25" t="s">
        <v>55</v>
      </c>
      <c r="E121" s="25" t="s">
        <v>31</v>
      </c>
      <c r="F121" s="25">
        <v>201810</v>
      </c>
      <c r="G121" s="13">
        <v>0</v>
      </c>
      <c r="H121" s="13">
        <v>0</v>
      </c>
      <c r="I121" s="13">
        <v>0</v>
      </c>
      <c r="J121" s="12">
        <v>0</v>
      </c>
      <c r="K121" s="13">
        <v>0</v>
      </c>
      <c r="L121" s="13">
        <v>0</v>
      </c>
      <c r="M121" s="12">
        <v>0</v>
      </c>
      <c r="N121" s="13">
        <v>0</v>
      </c>
      <c r="O121" s="13">
        <f t="shared" si="6"/>
        <v>0</v>
      </c>
      <c r="P121" s="12">
        <f t="shared" si="7"/>
        <v>0</v>
      </c>
      <c r="Q121" s="13">
        <f t="shared" si="7"/>
        <v>0</v>
      </c>
      <c r="R121" s="8">
        <f t="shared" si="8"/>
        <v>0</v>
      </c>
      <c r="S121" s="11">
        <f t="shared" si="8"/>
        <v>0</v>
      </c>
      <c r="T121" s="8">
        <f t="shared" si="9"/>
        <v>0</v>
      </c>
      <c r="U121" s="13">
        <f t="shared" si="10"/>
        <v>0</v>
      </c>
      <c r="V121" s="12">
        <f t="shared" si="10"/>
        <v>0</v>
      </c>
      <c r="W121" s="13">
        <f t="shared" si="11"/>
        <v>0</v>
      </c>
    </row>
    <row r="122" spans="1:23" x14ac:dyDescent="0.2">
      <c r="A122" s="25" t="s">
        <v>129</v>
      </c>
      <c r="B122" s="25" t="s">
        <v>139</v>
      </c>
      <c r="C122" s="25">
        <v>340</v>
      </c>
      <c r="D122" s="25" t="s">
        <v>55</v>
      </c>
      <c r="E122" s="25" t="s">
        <v>31</v>
      </c>
      <c r="F122" s="25">
        <v>201811</v>
      </c>
      <c r="G122" s="13">
        <v>0</v>
      </c>
      <c r="H122" s="13">
        <v>0</v>
      </c>
      <c r="I122" s="13">
        <v>0</v>
      </c>
      <c r="J122" s="12">
        <v>0</v>
      </c>
      <c r="K122" s="13">
        <v>0</v>
      </c>
      <c r="L122" s="13">
        <v>0</v>
      </c>
      <c r="M122" s="12">
        <v>0</v>
      </c>
      <c r="N122" s="13">
        <v>0</v>
      </c>
      <c r="O122" s="13">
        <f t="shared" si="6"/>
        <v>0</v>
      </c>
      <c r="P122" s="12">
        <f t="shared" si="7"/>
        <v>0</v>
      </c>
      <c r="Q122" s="13">
        <f t="shared" si="7"/>
        <v>0</v>
      </c>
      <c r="R122" s="8">
        <f t="shared" si="8"/>
        <v>0</v>
      </c>
      <c r="S122" s="11">
        <f t="shared" si="8"/>
        <v>0</v>
      </c>
      <c r="T122" s="8">
        <f t="shared" si="9"/>
        <v>0</v>
      </c>
      <c r="U122" s="13">
        <f t="shared" si="10"/>
        <v>0</v>
      </c>
      <c r="V122" s="12">
        <f t="shared" si="10"/>
        <v>0</v>
      </c>
      <c r="W122" s="13">
        <f t="shared" si="11"/>
        <v>0</v>
      </c>
    </row>
    <row r="123" spans="1:23" x14ac:dyDescent="0.2">
      <c r="A123" s="25" t="s">
        <v>129</v>
      </c>
      <c r="B123" s="25" t="s">
        <v>139</v>
      </c>
      <c r="C123" s="25">
        <v>340</v>
      </c>
      <c r="D123" s="25" t="s">
        <v>55</v>
      </c>
      <c r="E123" s="25" t="s">
        <v>31</v>
      </c>
      <c r="F123" s="25">
        <v>201812</v>
      </c>
      <c r="G123" s="13">
        <v>0</v>
      </c>
      <c r="H123" s="13">
        <v>0</v>
      </c>
      <c r="I123" s="13">
        <v>0</v>
      </c>
      <c r="J123" s="12">
        <v>0</v>
      </c>
      <c r="K123" s="13">
        <v>0</v>
      </c>
      <c r="L123" s="13">
        <v>0</v>
      </c>
      <c r="M123" s="12">
        <v>0</v>
      </c>
      <c r="N123" s="13">
        <v>0</v>
      </c>
      <c r="O123" s="13">
        <f t="shared" si="6"/>
        <v>0</v>
      </c>
      <c r="P123" s="12">
        <f t="shared" si="7"/>
        <v>0</v>
      </c>
      <c r="Q123" s="13">
        <f t="shared" si="7"/>
        <v>0</v>
      </c>
      <c r="R123" s="8">
        <f t="shared" si="8"/>
        <v>0</v>
      </c>
      <c r="S123" s="11">
        <f t="shared" si="8"/>
        <v>0</v>
      </c>
      <c r="T123" s="8">
        <f t="shared" si="9"/>
        <v>0</v>
      </c>
      <c r="U123" s="13">
        <f t="shared" si="10"/>
        <v>0</v>
      </c>
      <c r="V123" s="12">
        <f t="shared" si="10"/>
        <v>0</v>
      </c>
      <c r="W123" s="13">
        <f t="shared" si="11"/>
        <v>0</v>
      </c>
    </row>
    <row r="124" spans="1:23" x14ac:dyDescent="0.2">
      <c r="A124" s="25" t="s">
        <v>129</v>
      </c>
      <c r="B124" s="25" t="s">
        <v>140</v>
      </c>
      <c r="C124" s="25">
        <v>339</v>
      </c>
      <c r="D124" s="25" t="s">
        <v>54</v>
      </c>
      <c r="E124" s="25" t="s">
        <v>31</v>
      </c>
      <c r="F124" s="25">
        <v>201807</v>
      </c>
      <c r="G124" s="13">
        <v>0</v>
      </c>
      <c r="H124" s="13">
        <v>0</v>
      </c>
      <c r="I124" s="13">
        <v>0</v>
      </c>
      <c r="J124" s="12">
        <v>0</v>
      </c>
      <c r="K124" s="13">
        <v>0</v>
      </c>
      <c r="L124" s="13">
        <v>0</v>
      </c>
      <c r="M124" s="12">
        <v>0</v>
      </c>
      <c r="N124" s="13">
        <v>0</v>
      </c>
      <c r="O124" s="13">
        <f t="shared" si="6"/>
        <v>0</v>
      </c>
      <c r="P124" s="12">
        <f t="shared" si="7"/>
        <v>0</v>
      </c>
      <c r="Q124" s="13">
        <f t="shared" si="7"/>
        <v>0</v>
      </c>
      <c r="R124" s="8">
        <f t="shared" si="8"/>
        <v>0</v>
      </c>
      <c r="S124" s="11">
        <f t="shared" si="8"/>
        <v>0</v>
      </c>
      <c r="T124" s="8">
        <f t="shared" si="9"/>
        <v>0</v>
      </c>
      <c r="U124" s="13">
        <f t="shared" si="10"/>
        <v>0</v>
      </c>
      <c r="V124" s="12">
        <f t="shared" si="10"/>
        <v>0</v>
      </c>
      <c r="W124" s="13">
        <f t="shared" si="11"/>
        <v>0</v>
      </c>
    </row>
    <row r="125" spans="1:23" x14ac:dyDescent="0.2">
      <c r="A125" s="25" t="s">
        <v>129</v>
      </c>
      <c r="B125" s="25" t="s">
        <v>140</v>
      </c>
      <c r="C125" s="25">
        <v>339</v>
      </c>
      <c r="D125" s="25" t="s">
        <v>54</v>
      </c>
      <c r="E125" s="25" t="s">
        <v>31</v>
      </c>
      <c r="F125" s="25">
        <v>201808</v>
      </c>
      <c r="G125" s="13">
        <v>0</v>
      </c>
      <c r="H125" s="13">
        <v>0</v>
      </c>
      <c r="I125" s="13">
        <v>0</v>
      </c>
      <c r="J125" s="12">
        <v>0</v>
      </c>
      <c r="K125" s="13">
        <v>0</v>
      </c>
      <c r="L125" s="13">
        <v>0</v>
      </c>
      <c r="M125" s="12">
        <v>0</v>
      </c>
      <c r="N125" s="13">
        <v>0</v>
      </c>
      <c r="O125" s="13">
        <f t="shared" si="6"/>
        <v>0</v>
      </c>
      <c r="P125" s="12">
        <f t="shared" si="7"/>
        <v>0</v>
      </c>
      <c r="Q125" s="13">
        <f t="shared" si="7"/>
        <v>0</v>
      </c>
      <c r="R125" s="8">
        <f t="shared" si="8"/>
        <v>0</v>
      </c>
      <c r="S125" s="11">
        <f t="shared" si="8"/>
        <v>0</v>
      </c>
      <c r="T125" s="8">
        <f t="shared" si="9"/>
        <v>0</v>
      </c>
      <c r="U125" s="13">
        <f t="shared" si="10"/>
        <v>0</v>
      </c>
      <c r="V125" s="12">
        <f t="shared" si="10"/>
        <v>0</v>
      </c>
      <c r="W125" s="13">
        <f t="shared" si="11"/>
        <v>0</v>
      </c>
    </row>
    <row r="126" spans="1:23" x14ac:dyDescent="0.2">
      <c r="A126" s="25" t="s">
        <v>129</v>
      </c>
      <c r="B126" s="25" t="s">
        <v>140</v>
      </c>
      <c r="C126" s="25">
        <v>339</v>
      </c>
      <c r="D126" s="25" t="s">
        <v>54</v>
      </c>
      <c r="E126" s="25" t="s">
        <v>31</v>
      </c>
      <c r="F126" s="25">
        <v>201809</v>
      </c>
      <c r="G126" s="13">
        <v>0</v>
      </c>
      <c r="H126" s="13">
        <v>0</v>
      </c>
      <c r="I126" s="13">
        <v>0</v>
      </c>
      <c r="J126" s="12">
        <v>0</v>
      </c>
      <c r="K126" s="13">
        <v>0</v>
      </c>
      <c r="L126" s="13">
        <v>0</v>
      </c>
      <c r="M126" s="12">
        <v>0</v>
      </c>
      <c r="N126" s="13">
        <v>0</v>
      </c>
      <c r="O126" s="13">
        <f t="shared" si="6"/>
        <v>0</v>
      </c>
      <c r="P126" s="12">
        <f t="shared" si="7"/>
        <v>0</v>
      </c>
      <c r="Q126" s="13">
        <f t="shared" si="7"/>
        <v>0</v>
      </c>
      <c r="R126" s="8">
        <f t="shared" si="8"/>
        <v>0</v>
      </c>
      <c r="S126" s="11">
        <f t="shared" si="8"/>
        <v>0</v>
      </c>
      <c r="T126" s="8">
        <f t="shared" si="9"/>
        <v>0</v>
      </c>
      <c r="U126" s="13">
        <f t="shared" si="10"/>
        <v>0</v>
      </c>
      <c r="V126" s="12">
        <f t="shared" si="10"/>
        <v>0</v>
      </c>
      <c r="W126" s="13">
        <f t="shared" si="11"/>
        <v>0</v>
      </c>
    </row>
    <row r="127" spans="1:23" x14ac:dyDescent="0.2">
      <c r="A127" s="25" t="s">
        <v>129</v>
      </c>
      <c r="B127" s="25" t="s">
        <v>140</v>
      </c>
      <c r="C127" s="25">
        <v>339</v>
      </c>
      <c r="D127" s="25" t="s">
        <v>54</v>
      </c>
      <c r="E127" s="25" t="s">
        <v>31</v>
      </c>
      <c r="F127" s="25">
        <v>201810</v>
      </c>
      <c r="G127" s="13">
        <v>0</v>
      </c>
      <c r="H127" s="13">
        <v>0</v>
      </c>
      <c r="I127" s="13">
        <v>0</v>
      </c>
      <c r="J127" s="12">
        <v>0</v>
      </c>
      <c r="K127" s="13">
        <v>0</v>
      </c>
      <c r="L127" s="13">
        <v>0</v>
      </c>
      <c r="M127" s="12">
        <v>0</v>
      </c>
      <c r="N127" s="13">
        <v>0</v>
      </c>
      <c r="O127" s="13">
        <f t="shared" si="6"/>
        <v>0</v>
      </c>
      <c r="P127" s="12">
        <f t="shared" si="7"/>
        <v>0</v>
      </c>
      <c r="Q127" s="13">
        <f t="shared" si="7"/>
        <v>0</v>
      </c>
      <c r="R127" s="8">
        <f t="shared" si="8"/>
        <v>0</v>
      </c>
      <c r="S127" s="11">
        <f t="shared" si="8"/>
        <v>0</v>
      </c>
      <c r="T127" s="8">
        <f t="shared" si="9"/>
        <v>0</v>
      </c>
      <c r="U127" s="13">
        <f t="shared" si="10"/>
        <v>0</v>
      </c>
      <c r="V127" s="12">
        <f t="shared" si="10"/>
        <v>0</v>
      </c>
      <c r="W127" s="13">
        <f t="shared" si="11"/>
        <v>0</v>
      </c>
    </row>
    <row r="128" spans="1:23" x14ac:dyDescent="0.2">
      <c r="A128" s="25" t="s">
        <v>129</v>
      </c>
      <c r="B128" s="25" t="s">
        <v>140</v>
      </c>
      <c r="C128" s="25">
        <v>339</v>
      </c>
      <c r="D128" s="25" t="s">
        <v>54</v>
      </c>
      <c r="E128" s="25" t="s">
        <v>31</v>
      </c>
      <c r="F128" s="25">
        <v>201811</v>
      </c>
      <c r="G128" s="13">
        <v>0</v>
      </c>
      <c r="H128" s="13">
        <v>0</v>
      </c>
      <c r="I128" s="13">
        <v>0</v>
      </c>
      <c r="J128" s="12">
        <v>0</v>
      </c>
      <c r="K128" s="13">
        <v>0</v>
      </c>
      <c r="L128" s="13">
        <v>0</v>
      </c>
      <c r="M128" s="12">
        <v>0</v>
      </c>
      <c r="N128" s="13">
        <v>0</v>
      </c>
      <c r="O128" s="13">
        <f t="shared" si="6"/>
        <v>0</v>
      </c>
      <c r="P128" s="12">
        <f t="shared" si="7"/>
        <v>0</v>
      </c>
      <c r="Q128" s="13">
        <f t="shared" si="7"/>
        <v>0</v>
      </c>
      <c r="R128" s="8">
        <f t="shared" si="8"/>
        <v>0</v>
      </c>
      <c r="S128" s="11">
        <f t="shared" si="8"/>
        <v>0</v>
      </c>
      <c r="T128" s="8">
        <f t="shared" si="9"/>
        <v>0</v>
      </c>
      <c r="U128" s="13">
        <f t="shared" si="10"/>
        <v>0</v>
      </c>
      <c r="V128" s="12">
        <f t="shared" si="10"/>
        <v>0</v>
      </c>
      <c r="W128" s="13">
        <f t="shared" si="11"/>
        <v>0</v>
      </c>
    </row>
    <row r="129" spans="1:23" x14ac:dyDescent="0.2">
      <c r="A129" s="25" t="s">
        <v>129</v>
      </c>
      <c r="B129" s="25" t="s">
        <v>140</v>
      </c>
      <c r="C129" s="25">
        <v>339</v>
      </c>
      <c r="D129" s="25" t="s">
        <v>54</v>
      </c>
      <c r="E129" s="25" t="s">
        <v>31</v>
      </c>
      <c r="F129" s="25">
        <v>201812</v>
      </c>
      <c r="G129" s="13">
        <v>0</v>
      </c>
      <c r="H129" s="13">
        <v>0</v>
      </c>
      <c r="I129" s="13">
        <v>0</v>
      </c>
      <c r="J129" s="12">
        <v>0</v>
      </c>
      <c r="K129" s="13">
        <v>0</v>
      </c>
      <c r="L129" s="13">
        <v>0</v>
      </c>
      <c r="M129" s="12">
        <v>0</v>
      </c>
      <c r="N129" s="13">
        <v>0</v>
      </c>
      <c r="O129" s="13">
        <f t="shared" si="6"/>
        <v>0</v>
      </c>
      <c r="P129" s="12">
        <f t="shared" si="7"/>
        <v>0</v>
      </c>
      <c r="Q129" s="13">
        <f t="shared" si="7"/>
        <v>0</v>
      </c>
      <c r="R129" s="8">
        <f t="shared" si="8"/>
        <v>0</v>
      </c>
      <c r="S129" s="11">
        <f t="shared" si="8"/>
        <v>0</v>
      </c>
      <c r="T129" s="8">
        <f t="shared" si="9"/>
        <v>0</v>
      </c>
      <c r="U129" s="13">
        <f t="shared" si="10"/>
        <v>0</v>
      </c>
      <c r="V129" s="12">
        <f t="shared" si="10"/>
        <v>0</v>
      </c>
      <c r="W129" s="13">
        <f t="shared" si="11"/>
        <v>0</v>
      </c>
    </row>
    <row r="130" spans="1:23" x14ac:dyDescent="0.2">
      <c r="A130" s="25" t="s">
        <v>129</v>
      </c>
      <c r="B130" s="25" t="s">
        <v>140</v>
      </c>
      <c r="C130" s="25">
        <v>339</v>
      </c>
      <c r="D130" s="25" t="s">
        <v>55</v>
      </c>
      <c r="E130" s="25" t="s">
        <v>31</v>
      </c>
      <c r="F130" s="25">
        <v>201807</v>
      </c>
      <c r="G130" s="13">
        <v>0</v>
      </c>
      <c r="H130" s="13">
        <v>0</v>
      </c>
      <c r="I130" s="13">
        <v>0</v>
      </c>
      <c r="J130" s="12">
        <v>0</v>
      </c>
      <c r="K130" s="13">
        <v>0</v>
      </c>
      <c r="L130" s="13">
        <v>0</v>
      </c>
      <c r="M130" s="12">
        <v>0</v>
      </c>
      <c r="N130" s="13">
        <v>0</v>
      </c>
      <c r="O130" s="13">
        <f t="shared" si="6"/>
        <v>0</v>
      </c>
      <c r="P130" s="12">
        <f t="shared" si="7"/>
        <v>0</v>
      </c>
      <c r="Q130" s="13">
        <f t="shared" si="7"/>
        <v>0</v>
      </c>
      <c r="R130" s="8">
        <f t="shared" si="8"/>
        <v>0</v>
      </c>
      <c r="S130" s="11">
        <f t="shared" si="8"/>
        <v>0</v>
      </c>
      <c r="T130" s="8">
        <f t="shared" si="9"/>
        <v>0</v>
      </c>
      <c r="U130" s="13">
        <f t="shared" si="10"/>
        <v>0</v>
      </c>
      <c r="V130" s="12">
        <f t="shared" si="10"/>
        <v>0</v>
      </c>
      <c r="W130" s="13">
        <f t="shared" si="11"/>
        <v>0</v>
      </c>
    </row>
    <row r="131" spans="1:23" x14ac:dyDescent="0.2">
      <c r="A131" s="25" t="s">
        <v>129</v>
      </c>
      <c r="B131" s="25" t="s">
        <v>140</v>
      </c>
      <c r="C131" s="25">
        <v>339</v>
      </c>
      <c r="D131" s="25" t="s">
        <v>55</v>
      </c>
      <c r="E131" s="25" t="s">
        <v>31</v>
      </c>
      <c r="F131" s="25">
        <v>201808</v>
      </c>
      <c r="G131" s="13">
        <v>0</v>
      </c>
      <c r="H131" s="13">
        <v>0</v>
      </c>
      <c r="I131" s="13">
        <v>0</v>
      </c>
      <c r="J131" s="12">
        <v>0</v>
      </c>
      <c r="K131" s="13">
        <v>0</v>
      </c>
      <c r="L131" s="13">
        <v>0</v>
      </c>
      <c r="M131" s="12">
        <v>0</v>
      </c>
      <c r="N131" s="13">
        <v>0</v>
      </c>
      <c r="O131" s="13">
        <f t="shared" si="6"/>
        <v>0</v>
      </c>
      <c r="P131" s="12">
        <f t="shared" si="7"/>
        <v>0</v>
      </c>
      <c r="Q131" s="13">
        <f t="shared" si="7"/>
        <v>0</v>
      </c>
      <c r="R131" s="8">
        <f t="shared" si="8"/>
        <v>0</v>
      </c>
      <c r="S131" s="11">
        <f t="shared" si="8"/>
        <v>0</v>
      </c>
      <c r="T131" s="8">
        <f t="shared" si="9"/>
        <v>0</v>
      </c>
      <c r="U131" s="13">
        <f t="shared" si="10"/>
        <v>0</v>
      </c>
      <c r="V131" s="12">
        <f t="shared" si="10"/>
        <v>0</v>
      </c>
      <c r="W131" s="13">
        <f t="shared" si="11"/>
        <v>0</v>
      </c>
    </row>
    <row r="132" spans="1:23" x14ac:dyDescent="0.2">
      <c r="A132" s="25" t="s">
        <v>129</v>
      </c>
      <c r="B132" s="25" t="s">
        <v>140</v>
      </c>
      <c r="C132" s="25">
        <v>339</v>
      </c>
      <c r="D132" s="25" t="s">
        <v>55</v>
      </c>
      <c r="E132" s="25" t="s">
        <v>31</v>
      </c>
      <c r="F132" s="25">
        <v>201809</v>
      </c>
      <c r="G132" s="13">
        <v>0</v>
      </c>
      <c r="H132" s="13">
        <v>0</v>
      </c>
      <c r="I132" s="13">
        <v>0</v>
      </c>
      <c r="J132" s="12">
        <v>0</v>
      </c>
      <c r="K132" s="13">
        <v>0</v>
      </c>
      <c r="L132" s="13">
        <v>0</v>
      </c>
      <c r="M132" s="12">
        <v>0</v>
      </c>
      <c r="N132" s="13">
        <v>0</v>
      </c>
      <c r="O132" s="13">
        <f t="shared" ref="O132:O171" si="12">G132</f>
        <v>0</v>
      </c>
      <c r="P132" s="12">
        <f t="shared" ref="P132:Q171" si="13">J132</f>
        <v>0</v>
      </c>
      <c r="Q132" s="13">
        <f t="shared" si="13"/>
        <v>0</v>
      </c>
      <c r="R132" s="8">
        <f t="shared" ref="R132:S171" si="14">O132</f>
        <v>0</v>
      </c>
      <c r="S132" s="11">
        <f t="shared" si="14"/>
        <v>0</v>
      </c>
      <c r="T132" s="8">
        <f t="shared" ref="T132:T171" si="15">R132*S132</f>
        <v>0</v>
      </c>
      <c r="U132" s="13">
        <f t="shared" ref="U132:V171" si="16">R132</f>
        <v>0</v>
      </c>
      <c r="V132" s="12">
        <f t="shared" si="16"/>
        <v>0</v>
      </c>
      <c r="W132" s="13">
        <f t="shared" si="11"/>
        <v>0</v>
      </c>
    </row>
    <row r="133" spans="1:23" x14ac:dyDescent="0.2">
      <c r="A133" s="25" t="s">
        <v>129</v>
      </c>
      <c r="B133" s="25" t="s">
        <v>140</v>
      </c>
      <c r="C133" s="25">
        <v>339</v>
      </c>
      <c r="D133" s="25" t="s">
        <v>55</v>
      </c>
      <c r="E133" s="25" t="s">
        <v>31</v>
      </c>
      <c r="F133" s="25">
        <v>201810</v>
      </c>
      <c r="G133" s="13">
        <v>0</v>
      </c>
      <c r="H133" s="13">
        <v>0</v>
      </c>
      <c r="I133" s="13">
        <v>0</v>
      </c>
      <c r="J133" s="12">
        <v>0</v>
      </c>
      <c r="K133" s="13">
        <v>0</v>
      </c>
      <c r="L133" s="13">
        <v>0</v>
      </c>
      <c r="M133" s="12">
        <v>0</v>
      </c>
      <c r="N133" s="13">
        <v>0</v>
      </c>
      <c r="O133" s="13">
        <f t="shared" si="12"/>
        <v>0</v>
      </c>
      <c r="P133" s="12">
        <f t="shared" si="13"/>
        <v>0</v>
      </c>
      <c r="Q133" s="13">
        <f t="shared" si="13"/>
        <v>0</v>
      </c>
      <c r="R133" s="8">
        <f t="shared" si="14"/>
        <v>0</v>
      </c>
      <c r="S133" s="11">
        <f t="shared" si="14"/>
        <v>0</v>
      </c>
      <c r="T133" s="8">
        <f t="shared" si="15"/>
        <v>0</v>
      </c>
      <c r="U133" s="13">
        <f t="shared" si="16"/>
        <v>0</v>
      </c>
      <c r="V133" s="12">
        <f t="shared" si="16"/>
        <v>0</v>
      </c>
      <c r="W133" s="13">
        <f t="shared" ref="W133:W171" si="17">ROUND(T133,0)</f>
        <v>0</v>
      </c>
    </row>
    <row r="134" spans="1:23" x14ac:dyDescent="0.2">
      <c r="A134" s="25" t="s">
        <v>129</v>
      </c>
      <c r="B134" s="25" t="s">
        <v>140</v>
      </c>
      <c r="C134" s="25">
        <v>339</v>
      </c>
      <c r="D134" s="25" t="s">
        <v>55</v>
      </c>
      <c r="E134" s="25" t="s">
        <v>31</v>
      </c>
      <c r="F134" s="25">
        <v>201811</v>
      </c>
      <c r="G134" s="13">
        <v>0</v>
      </c>
      <c r="H134" s="13">
        <v>0</v>
      </c>
      <c r="I134" s="13">
        <v>0</v>
      </c>
      <c r="J134" s="12">
        <v>0</v>
      </c>
      <c r="K134" s="13">
        <v>0</v>
      </c>
      <c r="L134" s="13">
        <v>0</v>
      </c>
      <c r="M134" s="12">
        <v>0</v>
      </c>
      <c r="N134" s="13">
        <v>0</v>
      </c>
      <c r="O134" s="13">
        <f t="shared" si="12"/>
        <v>0</v>
      </c>
      <c r="P134" s="12">
        <f t="shared" si="13"/>
        <v>0</v>
      </c>
      <c r="Q134" s="13">
        <f t="shared" si="13"/>
        <v>0</v>
      </c>
      <c r="R134" s="8">
        <f t="shared" si="14"/>
        <v>0</v>
      </c>
      <c r="S134" s="11">
        <f t="shared" si="14"/>
        <v>0</v>
      </c>
      <c r="T134" s="8">
        <f t="shared" si="15"/>
        <v>0</v>
      </c>
      <c r="U134" s="13">
        <f t="shared" si="16"/>
        <v>0</v>
      </c>
      <c r="V134" s="12">
        <f t="shared" si="16"/>
        <v>0</v>
      </c>
      <c r="W134" s="13">
        <f t="shared" si="17"/>
        <v>0</v>
      </c>
    </row>
    <row r="135" spans="1:23" x14ac:dyDescent="0.2">
      <c r="A135" s="25" t="s">
        <v>129</v>
      </c>
      <c r="B135" s="25" t="s">
        <v>140</v>
      </c>
      <c r="C135" s="25">
        <v>339</v>
      </c>
      <c r="D135" s="25" t="s">
        <v>55</v>
      </c>
      <c r="E135" s="25" t="s">
        <v>31</v>
      </c>
      <c r="F135" s="25">
        <v>201812</v>
      </c>
      <c r="G135" s="13">
        <v>0</v>
      </c>
      <c r="H135" s="13">
        <v>0</v>
      </c>
      <c r="I135" s="13">
        <v>0</v>
      </c>
      <c r="J135" s="12">
        <v>0</v>
      </c>
      <c r="K135" s="13">
        <v>0</v>
      </c>
      <c r="L135" s="13">
        <v>0</v>
      </c>
      <c r="M135" s="12">
        <v>0</v>
      </c>
      <c r="N135" s="13">
        <v>0</v>
      </c>
      <c r="O135" s="13">
        <f t="shared" si="12"/>
        <v>0</v>
      </c>
      <c r="P135" s="12">
        <f t="shared" si="13"/>
        <v>0</v>
      </c>
      <c r="Q135" s="13">
        <f t="shared" si="13"/>
        <v>0</v>
      </c>
      <c r="R135" s="8">
        <f t="shared" si="14"/>
        <v>0</v>
      </c>
      <c r="S135" s="11">
        <f t="shared" si="14"/>
        <v>0</v>
      </c>
      <c r="T135" s="8">
        <f t="shared" si="15"/>
        <v>0</v>
      </c>
      <c r="U135" s="13">
        <f t="shared" si="16"/>
        <v>0</v>
      </c>
      <c r="V135" s="12">
        <f t="shared" si="16"/>
        <v>0</v>
      </c>
      <c r="W135" s="13">
        <f t="shared" si="17"/>
        <v>0</v>
      </c>
    </row>
    <row r="136" spans="1:23" x14ac:dyDescent="0.2">
      <c r="A136" s="25" t="s">
        <v>129</v>
      </c>
      <c r="B136" s="25" t="s">
        <v>141</v>
      </c>
      <c r="C136" s="25">
        <v>335</v>
      </c>
      <c r="D136" s="25" t="s">
        <v>54</v>
      </c>
      <c r="E136" s="25" t="s">
        <v>31</v>
      </c>
      <c r="F136" s="25">
        <v>201807</v>
      </c>
      <c r="G136" s="13">
        <v>0</v>
      </c>
      <c r="H136" s="13">
        <v>0</v>
      </c>
      <c r="I136" s="13">
        <v>0</v>
      </c>
      <c r="J136" s="12">
        <v>0</v>
      </c>
      <c r="K136" s="13">
        <v>0</v>
      </c>
      <c r="L136" s="13">
        <v>0</v>
      </c>
      <c r="M136" s="12">
        <v>0</v>
      </c>
      <c r="N136" s="13">
        <v>0</v>
      </c>
      <c r="O136" s="13">
        <f t="shared" si="12"/>
        <v>0</v>
      </c>
      <c r="P136" s="12">
        <f t="shared" si="13"/>
        <v>0</v>
      </c>
      <c r="Q136" s="13">
        <f t="shared" si="13"/>
        <v>0</v>
      </c>
      <c r="R136" s="8">
        <f t="shared" si="14"/>
        <v>0</v>
      </c>
      <c r="S136" s="11">
        <f t="shared" si="14"/>
        <v>0</v>
      </c>
      <c r="T136" s="8">
        <f t="shared" si="15"/>
        <v>0</v>
      </c>
      <c r="U136" s="13">
        <f t="shared" si="16"/>
        <v>0</v>
      </c>
      <c r="V136" s="12">
        <f t="shared" si="16"/>
        <v>0</v>
      </c>
      <c r="W136" s="13">
        <f t="shared" si="17"/>
        <v>0</v>
      </c>
    </row>
    <row r="137" spans="1:23" x14ac:dyDescent="0.2">
      <c r="A137" s="25" t="s">
        <v>129</v>
      </c>
      <c r="B137" s="25" t="s">
        <v>141</v>
      </c>
      <c r="C137" s="25">
        <v>335</v>
      </c>
      <c r="D137" s="25" t="s">
        <v>54</v>
      </c>
      <c r="E137" s="25" t="s">
        <v>31</v>
      </c>
      <c r="F137" s="25">
        <v>201808</v>
      </c>
      <c r="G137" s="13">
        <v>0</v>
      </c>
      <c r="H137" s="13">
        <v>0</v>
      </c>
      <c r="I137" s="13">
        <v>0</v>
      </c>
      <c r="J137" s="12">
        <v>0</v>
      </c>
      <c r="K137" s="13">
        <v>0</v>
      </c>
      <c r="L137" s="13">
        <v>0</v>
      </c>
      <c r="M137" s="12">
        <v>0</v>
      </c>
      <c r="N137" s="13">
        <v>0</v>
      </c>
      <c r="O137" s="13">
        <f t="shared" si="12"/>
        <v>0</v>
      </c>
      <c r="P137" s="12">
        <f t="shared" si="13"/>
        <v>0</v>
      </c>
      <c r="Q137" s="13">
        <f t="shared" si="13"/>
        <v>0</v>
      </c>
      <c r="R137" s="8">
        <f t="shared" si="14"/>
        <v>0</v>
      </c>
      <c r="S137" s="11">
        <f t="shared" si="14"/>
        <v>0</v>
      </c>
      <c r="T137" s="8">
        <f t="shared" si="15"/>
        <v>0</v>
      </c>
      <c r="U137" s="13">
        <f t="shared" si="16"/>
        <v>0</v>
      </c>
      <c r="V137" s="12">
        <f t="shared" si="16"/>
        <v>0</v>
      </c>
      <c r="W137" s="13">
        <f t="shared" si="17"/>
        <v>0</v>
      </c>
    </row>
    <row r="138" spans="1:23" x14ac:dyDescent="0.2">
      <c r="A138" s="25" t="s">
        <v>129</v>
      </c>
      <c r="B138" s="25" t="s">
        <v>141</v>
      </c>
      <c r="C138" s="25">
        <v>335</v>
      </c>
      <c r="D138" s="25" t="s">
        <v>54</v>
      </c>
      <c r="E138" s="25" t="s">
        <v>31</v>
      </c>
      <c r="F138" s="25">
        <v>201809</v>
      </c>
      <c r="G138" s="13">
        <v>0</v>
      </c>
      <c r="H138" s="13">
        <v>0</v>
      </c>
      <c r="I138" s="13">
        <v>0</v>
      </c>
      <c r="J138" s="12">
        <v>0</v>
      </c>
      <c r="K138" s="13">
        <v>0</v>
      </c>
      <c r="L138" s="13">
        <v>0</v>
      </c>
      <c r="M138" s="12">
        <v>0</v>
      </c>
      <c r="N138" s="13">
        <v>0</v>
      </c>
      <c r="O138" s="13">
        <f t="shared" si="12"/>
        <v>0</v>
      </c>
      <c r="P138" s="12">
        <f t="shared" si="13"/>
        <v>0</v>
      </c>
      <c r="Q138" s="13">
        <f t="shared" si="13"/>
        <v>0</v>
      </c>
      <c r="R138" s="8">
        <f t="shared" si="14"/>
        <v>0</v>
      </c>
      <c r="S138" s="11">
        <f t="shared" si="14"/>
        <v>0</v>
      </c>
      <c r="T138" s="8">
        <f t="shared" si="15"/>
        <v>0</v>
      </c>
      <c r="U138" s="13">
        <f t="shared" si="16"/>
        <v>0</v>
      </c>
      <c r="V138" s="12">
        <f t="shared" si="16"/>
        <v>0</v>
      </c>
      <c r="W138" s="13">
        <f t="shared" si="17"/>
        <v>0</v>
      </c>
    </row>
    <row r="139" spans="1:23" x14ac:dyDescent="0.2">
      <c r="A139" s="25" t="s">
        <v>129</v>
      </c>
      <c r="B139" s="25" t="s">
        <v>141</v>
      </c>
      <c r="C139" s="25">
        <v>335</v>
      </c>
      <c r="D139" s="25" t="s">
        <v>54</v>
      </c>
      <c r="E139" s="25" t="s">
        <v>31</v>
      </c>
      <c r="F139" s="25">
        <v>201810</v>
      </c>
      <c r="G139" s="13">
        <v>0</v>
      </c>
      <c r="H139" s="13">
        <v>0</v>
      </c>
      <c r="I139" s="13">
        <v>0</v>
      </c>
      <c r="J139" s="12">
        <v>0</v>
      </c>
      <c r="K139" s="13">
        <v>0</v>
      </c>
      <c r="L139" s="13">
        <v>0</v>
      </c>
      <c r="M139" s="12">
        <v>0</v>
      </c>
      <c r="N139" s="13">
        <v>0</v>
      </c>
      <c r="O139" s="13">
        <f t="shared" si="12"/>
        <v>0</v>
      </c>
      <c r="P139" s="12">
        <f t="shared" si="13"/>
        <v>0</v>
      </c>
      <c r="Q139" s="13">
        <f t="shared" si="13"/>
        <v>0</v>
      </c>
      <c r="R139" s="8">
        <f t="shared" si="14"/>
        <v>0</v>
      </c>
      <c r="S139" s="11">
        <f t="shared" si="14"/>
        <v>0</v>
      </c>
      <c r="T139" s="8">
        <f t="shared" si="15"/>
        <v>0</v>
      </c>
      <c r="U139" s="13">
        <f t="shared" si="16"/>
        <v>0</v>
      </c>
      <c r="V139" s="12">
        <f t="shared" si="16"/>
        <v>0</v>
      </c>
      <c r="W139" s="13">
        <f t="shared" si="17"/>
        <v>0</v>
      </c>
    </row>
    <row r="140" spans="1:23" x14ac:dyDescent="0.2">
      <c r="A140" s="25" t="s">
        <v>129</v>
      </c>
      <c r="B140" s="25" t="s">
        <v>141</v>
      </c>
      <c r="C140" s="25">
        <v>335</v>
      </c>
      <c r="D140" s="25" t="s">
        <v>54</v>
      </c>
      <c r="E140" s="25" t="s">
        <v>31</v>
      </c>
      <c r="F140" s="25">
        <v>201811</v>
      </c>
      <c r="G140" s="13">
        <v>0</v>
      </c>
      <c r="H140" s="13">
        <v>0</v>
      </c>
      <c r="I140" s="13">
        <v>0</v>
      </c>
      <c r="J140" s="12">
        <v>0</v>
      </c>
      <c r="K140" s="13">
        <v>0</v>
      </c>
      <c r="L140" s="13">
        <v>0</v>
      </c>
      <c r="M140" s="12">
        <v>0</v>
      </c>
      <c r="N140" s="13">
        <v>0</v>
      </c>
      <c r="O140" s="13">
        <f t="shared" si="12"/>
        <v>0</v>
      </c>
      <c r="P140" s="12">
        <f t="shared" si="13"/>
        <v>0</v>
      </c>
      <c r="Q140" s="13">
        <f t="shared" si="13"/>
        <v>0</v>
      </c>
      <c r="R140" s="8">
        <f t="shared" si="14"/>
        <v>0</v>
      </c>
      <c r="S140" s="11">
        <f t="shared" si="14"/>
        <v>0</v>
      </c>
      <c r="T140" s="8">
        <f t="shared" si="15"/>
        <v>0</v>
      </c>
      <c r="U140" s="13">
        <f t="shared" si="16"/>
        <v>0</v>
      </c>
      <c r="V140" s="12">
        <f t="shared" si="16"/>
        <v>0</v>
      </c>
      <c r="W140" s="13">
        <f t="shared" si="17"/>
        <v>0</v>
      </c>
    </row>
    <row r="141" spans="1:23" x14ac:dyDescent="0.2">
      <c r="A141" s="25" t="s">
        <v>129</v>
      </c>
      <c r="B141" s="25" t="s">
        <v>141</v>
      </c>
      <c r="C141" s="25">
        <v>335</v>
      </c>
      <c r="D141" s="25" t="s">
        <v>54</v>
      </c>
      <c r="E141" s="25" t="s">
        <v>31</v>
      </c>
      <c r="F141" s="25">
        <v>201812</v>
      </c>
      <c r="G141" s="13">
        <v>0</v>
      </c>
      <c r="H141" s="13">
        <v>0</v>
      </c>
      <c r="I141" s="13">
        <v>0</v>
      </c>
      <c r="J141" s="12">
        <v>0</v>
      </c>
      <c r="K141" s="13">
        <v>0</v>
      </c>
      <c r="L141" s="13">
        <v>0</v>
      </c>
      <c r="M141" s="12">
        <v>0</v>
      </c>
      <c r="N141" s="13">
        <v>0</v>
      </c>
      <c r="O141" s="13">
        <f t="shared" si="12"/>
        <v>0</v>
      </c>
      <c r="P141" s="12">
        <f t="shared" si="13"/>
        <v>0</v>
      </c>
      <c r="Q141" s="13">
        <f t="shared" si="13"/>
        <v>0</v>
      </c>
      <c r="R141" s="8">
        <f t="shared" si="14"/>
        <v>0</v>
      </c>
      <c r="S141" s="11">
        <f t="shared" si="14"/>
        <v>0</v>
      </c>
      <c r="T141" s="8">
        <f t="shared" si="15"/>
        <v>0</v>
      </c>
      <c r="U141" s="13">
        <f t="shared" si="16"/>
        <v>0</v>
      </c>
      <c r="V141" s="12">
        <f t="shared" si="16"/>
        <v>0</v>
      </c>
      <c r="W141" s="13">
        <f t="shared" si="17"/>
        <v>0</v>
      </c>
    </row>
    <row r="142" spans="1:23" x14ac:dyDescent="0.2">
      <c r="A142" s="25" t="s">
        <v>129</v>
      </c>
      <c r="B142" s="25" t="s">
        <v>141</v>
      </c>
      <c r="C142" s="25">
        <v>335</v>
      </c>
      <c r="D142" s="25" t="s">
        <v>55</v>
      </c>
      <c r="E142" s="25" t="s">
        <v>31</v>
      </c>
      <c r="F142" s="25">
        <v>201807</v>
      </c>
      <c r="G142" s="13">
        <v>0</v>
      </c>
      <c r="H142" s="13">
        <v>0</v>
      </c>
      <c r="I142" s="13">
        <v>0</v>
      </c>
      <c r="J142" s="12">
        <v>0</v>
      </c>
      <c r="K142" s="13">
        <v>0</v>
      </c>
      <c r="L142" s="13">
        <v>0</v>
      </c>
      <c r="M142" s="12">
        <v>0</v>
      </c>
      <c r="N142" s="13">
        <v>0</v>
      </c>
      <c r="O142" s="13">
        <f t="shared" si="12"/>
        <v>0</v>
      </c>
      <c r="P142" s="12">
        <f t="shared" si="13"/>
        <v>0</v>
      </c>
      <c r="Q142" s="13">
        <f t="shared" si="13"/>
        <v>0</v>
      </c>
      <c r="R142" s="8">
        <f t="shared" si="14"/>
        <v>0</v>
      </c>
      <c r="S142" s="11">
        <f t="shared" si="14"/>
        <v>0</v>
      </c>
      <c r="T142" s="8">
        <f t="shared" si="15"/>
        <v>0</v>
      </c>
      <c r="U142" s="13">
        <f t="shared" si="16"/>
        <v>0</v>
      </c>
      <c r="V142" s="12">
        <f t="shared" si="16"/>
        <v>0</v>
      </c>
      <c r="W142" s="13">
        <f t="shared" si="17"/>
        <v>0</v>
      </c>
    </row>
    <row r="143" spans="1:23" x14ac:dyDescent="0.2">
      <c r="A143" s="25" t="s">
        <v>129</v>
      </c>
      <c r="B143" s="25" t="s">
        <v>141</v>
      </c>
      <c r="C143" s="25">
        <v>335</v>
      </c>
      <c r="D143" s="25" t="s">
        <v>55</v>
      </c>
      <c r="E143" s="25" t="s">
        <v>31</v>
      </c>
      <c r="F143" s="25">
        <v>201808</v>
      </c>
      <c r="G143" s="13">
        <v>0</v>
      </c>
      <c r="H143" s="13">
        <v>0</v>
      </c>
      <c r="I143" s="13">
        <v>0</v>
      </c>
      <c r="J143" s="12">
        <v>0</v>
      </c>
      <c r="K143" s="13">
        <v>0</v>
      </c>
      <c r="L143" s="13">
        <v>0</v>
      </c>
      <c r="M143" s="12">
        <v>0</v>
      </c>
      <c r="N143" s="13">
        <v>0</v>
      </c>
      <c r="O143" s="13">
        <f t="shared" si="12"/>
        <v>0</v>
      </c>
      <c r="P143" s="12">
        <f t="shared" si="13"/>
        <v>0</v>
      </c>
      <c r="Q143" s="13">
        <f t="shared" si="13"/>
        <v>0</v>
      </c>
      <c r="R143" s="8">
        <f t="shared" si="14"/>
        <v>0</v>
      </c>
      <c r="S143" s="11">
        <f t="shared" si="14"/>
        <v>0</v>
      </c>
      <c r="T143" s="8">
        <f t="shared" si="15"/>
        <v>0</v>
      </c>
      <c r="U143" s="13">
        <f t="shared" si="16"/>
        <v>0</v>
      </c>
      <c r="V143" s="12">
        <f t="shared" si="16"/>
        <v>0</v>
      </c>
      <c r="W143" s="13">
        <f t="shared" si="17"/>
        <v>0</v>
      </c>
    </row>
    <row r="144" spans="1:23" x14ac:dyDescent="0.2">
      <c r="A144" s="25" t="s">
        <v>129</v>
      </c>
      <c r="B144" s="25" t="s">
        <v>141</v>
      </c>
      <c r="C144" s="25">
        <v>335</v>
      </c>
      <c r="D144" s="25" t="s">
        <v>55</v>
      </c>
      <c r="E144" s="25" t="s">
        <v>31</v>
      </c>
      <c r="F144" s="25">
        <v>201809</v>
      </c>
      <c r="G144" s="13">
        <v>0</v>
      </c>
      <c r="H144" s="13">
        <v>0</v>
      </c>
      <c r="I144" s="13">
        <v>0</v>
      </c>
      <c r="J144" s="12">
        <v>0</v>
      </c>
      <c r="K144" s="13">
        <v>0</v>
      </c>
      <c r="L144" s="13">
        <v>0</v>
      </c>
      <c r="M144" s="12">
        <v>0</v>
      </c>
      <c r="N144" s="13">
        <v>0</v>
      </c>
      <c r="O144" s="13">
        <f t="shared" si="12"/>
        <v>0</v>
      </c>
      <c r="P144" s="12">
        <f t="shared" si="13"/>
        <v>0</v>
      </c>
      <c r="Q144" s="13">
        <f t="shared" si="13"/>
        <v>0</v>
      </c>
      <c r="R144" s="8">
        <f t="shared" si="14"/>
        <v>0</v>
      </c>
      <c r="S144" s="11">
        <f t="shared" si="14"/>
        <v>0</v>
      </c>
      <c r="T144" s="8">
        <f t="shared" si="15"/>
        <v>0</v>
      </c>
      <c r="U144" s="13">
        <f t="shared" si="16"/>
        <v>0</v>
      </c>
      <c r="V144" s="12">
        <f t="shared" si="16"/>
        <v>0</v>
      </c>
      <c r="W144" s="13">
        <f t="shared" si="17"/>
        <v>0</v>
      </c>
    </row>
    <row r="145" spans="1:23" x14ac:dyDescent="0.2">
      <c r="A145" s="25" t="s">
        <v>129</v>
      </c>
      <c r="B145" s="25" t="s">
        <v>141</v>
      </c>
      <c r="C145" s="25">
        <v>335</v>
      </c>
      <c r="D145" s="25" t="s">
        <v>55</v>
      </c>
      <c r="E145" s="25" t="s">
        <v>31</v>
      </c>
      <c r="F145" s="25">
        <v>201810</v>
      </c>
      <c r="G145" s="13">
        <v>0</v>
      </c>
      <c r="H145" s="13">
        <v>0</v>
      </c>
      <c r="I145" s="13">
        <v>0</v>
      </c>
      <c r="J145" s="12">
        <v>0</v>
      </c>
      <c r="K145" s="13">
        <v>0</v>
      </c>
      <c r="L145" s="13">
        <v>0</v>
      </c>
      <c r="M145" s="12">
        <v>0</v>
      </c>
      <c r="N145" s="13">
        <v>0</v>
      </c>
      <c r="O145" s="13">
        <f t="shared" si="12"/>
        <v>0</v>
      </c>
      <c r="P145" s="12">
        <f t="shared" si="13"/>
        <v>0</v>
      </c>
      <c r="Q145" s="13">
        <f t="shared" si="13"/>
        <v>0</v>
      </c>
      <c r="R145" s="8">
        <f t="shared" si="14"/>
        <v>0</v>
      </c>
      <c r="S145" s="11">
        <f t="shared" si="14"/>
        <v>0</v>
      </c>
      <c r="T145" s="8">
        <f t="shared" si="15"/>
        <v>0</v>
      </c>
      <c r="U145" s="13">
        <f t="shared" si="16"/>
        <v>0</v>
      </c>
      <c r="V145" s="12">
        <f t="shared" si="16"/>
        <v>0</v>
      </c>
      <c r="W145" s="13">
        <f t="shared" si="17"/>
        <v>0</v>
      </c>
    </row>
    <row r="146" spans="1:23" x14ac:dyDescent="0.2">
      <c r="A146" s="25" t="s">
        <v>129</v>
      </c>
      <c r="B146" s="25" t="s">
        <v>141</v>
      </c>
      <c r="C146" s="25">
        <v>335</v>
      </c>
      <c r="D146" s="25" t="s">
        <v>55</v>
      </c>
      <c r="E146" s="25" t="s">
        <v>31</v>
      </c>
      <c r="F146" s="25">
        <v>201811</v>
      </c>
      <c r="G146" s="13">
        <v>0</v>
      </c>
      <c r="H146" s="13">
        <v>0</v>
      </c>
      <c r="I146" s="13">
        <v>0</v>
      </c>
      <c r="J146" s="12">
        <v>0</v>
      </c>
      <c r="K146" s="13">
        <v>0</v>
      </c>
      <c r="L146" s="13">
        <v>0</v>
      </c>
      <c r="M146" s="12">
        <v>0</v>
      </c>
      <c r="N146" s="13">
        <v>0</v>
      </c>
      <c r="O146" s="13">
        <f t="shared" si="12"/>
        <v>0</v>
      </c>
      <c r="P146" s="12">
        <f t="shared" si="13"/>
        <v>0</v>
      </c>
      <c r="Q146" s="13">
        <f t="shared" si="13"/>
        <v>0</v>
      </c>
      <c r="R146" s="8">
        <f t="shared" si="14"/>
        <v>0</v>
      </c>
      <c r="S146" s="11">
        <f t="shared" si="14"/>
        <v>0</v>
      </c>
      <c r="T146" s="8">
        <f t="shared" si="15"/>
        <v>0</v>
      </c>
      <c r="U146" s="13">
        <f t="shared" si="16"/>
        <v>0</v>
      </c>
      <c r="V146" s="12">
        <f t="shared" si="16"/>
        <v>0</v>
      </c>
      <c r="W146" s="13">
        <f t="shared" si="17"/>
        <v>0</v>
      </c>
    </row>
    <row r="147" spans="1:23" x14ac:dyDescent="0.2">
      <c r="A147" s="25" t="s">
        <v>129</v>
      </c>
      <c r="B147" s="25" t="s">
        <v>141</v>
      </c>
      <c r="C147" s="25">
        <v>335</v>
      </c>
      <c r="D147" s="25" t="s">
        <v>55</v>
      </c>
      <c r="E147" s="25" t="s">
        <v>31</v>
      </c>
      <c r="F147" s="25">
        <v>201812</v>
      </c>
      <c r="G147" s="13">
        <v>0</v>
      </c>
      <c r="H147" s="13">
        <v>0</v>
      </c>
      <c r="I147" s="13">
        <v>0</v>
      </c>
      <c r="J147" s="12">
        <v>0</v>
      </c>
      <c r="K147" s="13">
        <v>0</v>
      </c>
      <c r="L147" s="13">
        <v>0</v>
      </c>
      <c r="M147" s="12">
        <v>0</v>
      </c>
      <c r="N147" s="13">
        <v>0</v>
      </c>
      <c r="O147" s="13">
        <f t="shared" si="12"/>
        <v>0</v>
      </c>
      <c r="P147" s="12">
        <f t="shared" si="13"/>
        <v>0</v>
      </c>
      <c r="Q147" s="13">
        <f t="shared" si="13"/>
        <v>0</v>
      </c>
      <c r="R147" s="8">
        <f t="shared" si="14"/>
        <v>0</v>
      </c>
      <c r="S147" s="11">
        <f t="shared" si="14"/>
        <v>0</v>
      </c>
      <c r="T147" s="8">
        <f t="shared" si="15"/>
        <v>0</v>
      </c>
      <c r="U147" s="13">
        <f t="shared" si="16"/>
        <v>0</v>
      </c>
      <c r="V147" s="12">
        <f t="shared" si="16"/>
        <v>0</v>
      </c>
      <c r="W147" s="13">
        <f t="shared" si="17"/>
        <v>0</v>
      </c>
    </row>
    <row r="148" spans="1:23" x14ac:dyDescent="0.2">
      <c r="A148" s="25" t="s">
        <v>129</v>
      </c>
      <c r="B148" s="25" t="s">
        <v>142</v>
      </c>
      <c r="C148" s="25">
        <v>336</v>
      </c>
      <c r="D148" s="25" t="s">
        <v>54</v>
      </c>
      <c r="E148" s="25" t="s">
        <v>31</v>
      </c>
      <c r="F148" s="25">
        <v>201807</v>
      </c>
      <c r="G148" s="13">
        <v>0</v>
      </c>
      <c r="H148" s="13">
        <v>0</v>
      </c>
      <c r="I148" s="13">
        <v>0</v>
      </c>
      <c r="J148" s="12">
        <v>0</v>
      </c>
      <c r="K148" s="13">
        <v>0</v>
      </c>
      <c r="L148" s="13">
        <v>0</v>
      </c>
      <c r="M148" s="12">
        <v>0</v>
      </c>
      <c r="N148" s="13">
        <v>0</v>
      </c>
      <c r="O148" s="13">
        <f t="shared" si="12"/>
        <v>0</v>
      </c>
      <c r="P148" s="12">
        <f t="shared" si="13"/>
        <v>0</v>
      </c>
      <c r="Q148" s="13">
        <f t="shared" si="13"/>
        <v>0</v>
      </c>
      <c r="R148" s="8">
        <f t="shared" si="14"/>
        <v>0</v>
      </c>
      <c r="S148" s="11">
        <f t="shared" si="14"/>
        <v>0</v>
      </c>
      <c r="T148" s="8">
        <f t="shared" si="15"/>
        <v>0</v>
      </c>
      <c r="U148" s="13">
        <f t="shared" si="16"/>
        <v>0</v>
      </c>
      <c r="V148" s="12">
        <f t="shared" si="16"/>
        <v>0</v>
      </c>
      <c r="W148" s="13">
        <f t="shared" si="17"/>
        <v>0</v>
      </c>
    </row>
    <row r="149" spans="1:23" x14ac:dyDescent="0.2">
      <c r="A149" s="25" t="s">
        <v>129</v>
      </c>
      <c r="B149" s="25" t="s">
        <v>142</v>
      </c>
      <c r="C149" s="25">
        <v>336</v>
      </c>
      <c r="D149" s="25" t="s">
        <v>54</v>
      </c>
      <c r="E149" s="25" t="s">
        <v>31</v>
      </c>
      <c r="F149" s="25">
        <v>201808</v>
      </c>
      <c r="G149" s="13">
        <v>0</v>
      </c>
      <c r="H149" s="13">
        <v>0</v>
      </c>
      <c r="I149" s="13">
        <v>0</v>
      </c>
      <c r="J149" s="12">
        <v>0</v>
      </c>
      <c r="K149" s="13">
        <v>0</v>
      </c>
      <c r="L149" s="13">
        <v>0</v>
      </c>
      <c r="M149" s="12">
        <v>0</v>
      </c>
      <c r="N149" s="13">
        <v>0</v>
      </c>
      <c r="O149" s="13">
        <f t="shared" si="12"/>
        <v>0</v>
      </c>
      <c r="P149" s="12">
        <f t="shared" si="13"/>
        <v>0</v>
      </c>
      <c r="Q149" s="13">
        <f t="shared" si="13"/>
        <v>0</v>
      </c>
      <c r="R149" s="8">
        <f t="shared" si="14"/>
        <v>0</v>
      </c>
      <c r="S149" s="11">
        <f t="shared" si="14"/>
        <v>0</v>
      </c>
      <c r="T149" s="8">
        <f t="shared" si="15"/>
        <v>0</v>
      </c>
      <c r="U149" s="13">
        <f t="shared" si="16"/>
        <v>0</v>
      </c>
      <c r="V149" s="12">
        <f t="shared" si="16"/>
        <v>0</v>
      </c>
      <c r="W149" s="13">
        <f t="shared" si="17"/>
        <v>0</v>
      </c>
    </row>
    <row r="150" spans="1:23" x14ac:dyDescent="0.2">
      <c r="A150" s="25" t="s">
        <v>129</v>
      </c>
      <c r="B150" s="25" t="s">
        <v>142</v>
      </c>
      <c r="C150" s="25">
        <v>336</v>
      </c>
      <c r="D150" s="25" t="s">
        <v>54</v>
      </c>
      <c r="E150" s="25" t="s">
        <v>31</v>
      </c>
      <c r="F150" s="25">
        <v>201809</v>
      </c>
      <c r="G150" s="13">
        <v>0</v>
      </c>
      <c r="H150" s="13">
        <v>0</v>
      </c>
      <c r="I150" s="13">
        <v>0</v>
      </c>
      <c r="J150" s="12">
        <v>0</v>
      </c>
      <c r="K150" s="13">
        <v>0</v>
      </c>
      <c r="L150" s="13">
        <v>0</v>
      </c>
      <c r="M150" s="12">
        <v>0</v>
      </c>
      <c r="N150" s="13">
        <v>0</v>
      </c>
      <c r="O150" s="13">
        <f t="shared" si="12"/>
        <v>0</v>
      </c>
      <c r="P150" s="12">
        <f t="shared" si="13"/>
        <v>0</v>
      </c>
      <c r="Q150" s="13">
        <f t="shared" si="13"/>
        <v>0</v>
      </c>
      <c r="R150" s="8">
        <f t="shared" si="14"/>
        <v>0</v>
      </c>
      <c r="S150" s="11">
        <f t="shared" si="14"/>
        <v>0</v>
      </c>
      <c r="T150" s="8">
        <f t="shared" si="15"/>
        <v>0</v>
      </c>
      <c r="U150" s="13">
        <f t="shared" si="16"/>
        <v>0</v>
      </c>
      <c r="V150" s="12">
        <f t="shared" si="16"/>
        <v>0</v>
      </c>
      <c r="W150" s="13">
        <f t="shared" si="17"/>
        <v>0</v>
      </c>
    </row>
    <row r="151" spans="1:23" x14ac:dyDescent="0.2">
      <c r="A151" s="25" t="s">
        <v>129</v>
      </c>
      <c r="B151" s="25" t="s">
        <v>142</v>
      </c>
      <c r="C151" s="25">
        <v>336</v>
      </c>
      <c r="D151" s="25" t="s">
        <v>54</v>
      </c>
      <c r="E151" s="25" t="s">
        <v>31</v>
      </c>
      <c r="F151" s="25">
        <v>201810</v>
      </c>
      <c r="G151" s="13">
        <v>0</v>
      </c>
      <c r="H151" s="13">
        <v>0</v>
      </c>
      <c r="I151" s="13">
        <v>0</v>
      </c>
      <c r="J151" s="12">
        <v>0</v>
      </c>
      <c r="K151" s="13">
        <v>0</v>
      </c>
      <c r="L151" s="13">
        <v>0</v>
      </c>
      <c r="M151" s="12">
        <v>0</v>
      </c>
      <c r="N151" s="13">
        <v>0</v>
      </c>
      <c r="O151" s="13">
        <f t="shared" si="12"/>
        <v>0</v>
      </c>
      <c r="P151" s="12">
        <f t="shared" si="13"/>
        <v>0</v>
      </c>
      <c r="Q151" s="13">
        <f t="shared" si="13"/>
        <v>0</v>
      </c>
      <c r="R151" s="8">
        <f t="shared" si="14"/>
        <v>0</v>
      </c>
      <c r="S151" s="11">
        <f t="shared" si="14"/>
        <v>0</v>
      </c>
      <c r="T151" s="8">
        <f t="shared" si="15"/>
        <v>0</v>
      </c>
      <c r="U151" s="13">
        <f t="shared" si="16"/>
        <v>0</v>
      </c>
      <c r="V151" s="12">
        <f t="shared" si="16"/>
        <v>0</v>
      </c>
      <c r="W151" s="13">
        <f t="shared" si="17"/>
        <v>0</v>
      </c>
    </row>
    <row r="152" spans="1:23" x14ac:dyDescent="0.2">
      <c r="A152" s="25" t="s">
        <v>129</v>
      </c>
      <c r="B152" s="25" t="s">
        <v>142</v>
      </c>
      <c r="C152" s="25">
        <v>336</v>
      </c>
      <c r="D152" s="25" t="s">
        <v>54</v>
      </c>
      <c r="E152" s="25" t="s">
        <v>31</v>
      </c>
      <c r="F152" s="25">
        <v>201811</v>
      </c>
      <c r="G152" s="13">
        <v>0</v>
      </c>
      <c r="H152" s="13">
        <v>0</v>
      </c>
      <c r="I152" s="13">
        <v>0</v>
      </c>
      <c r="J152" s="12">
        <v>0</v>
      </c>
      <c r="K152" s="13">
        <v>0</v>
      </c>
      <c r="L152" s="13">
        <v>0</v>
      </c>
      <c r="M152" s="12">
        <v>0</v>
      </c>
      <c r="N152" s="13">
        <v>0</v>
      </c>
      <c r="O152" s="13">
        <f t="shared" si="12"/>
        <v>0</v>
      </c>
      <c r="P152" s="12">
        <f t="shared" si="13"/>
        <v>0</v>
      </c>
      <c r="Q152" s="13">
        <f t="shared" si="13"/>
        <v>0</v>
      </c>
      <c r="R152" s="8">
        <f t="shared" si="14"/>
        <v>0</v>
      </c>
      <c r="S152" s="11">
        <f t="shared" si="14"/>
        <v>0</v>
      </c>
      <c r="T152" s="8">
        <f t="shared" si="15"/>
        <v>0</v>
      </c>
      <c r="U152" s="13">
        <f t="shared" si="16"/>
        <v>0</v>
      </c>
      <c r="V152" s="12">
        <f t="shared" si="16"/>
        <v>0</v>
      </c>
      <c r="W152" s="13">
        <f t="shared" si="17"/>
        <v>0</v>
      </c>
    </row>
    <row r="153" spans="1:23" x14ac:dyDescent="0.2">
      <c r="A153" s="25" t="s">
        <v>129</v>
      </c>
      <c r="B153" s="25" t="s">
        <v>142</v>
      </c>
      <c r="C153" s="25">
        <v>336</v>
      </c>
      <c r="D153" s="25" t="s">
        <v>54</v>
      </c>
      <c r="E153" s="25" t="s">
        <v>31</v>
      </c>
      <c r="F153" s="25">
        <v>201812</v>
      </c>
      <c r="G153" s="13">
        <v>0</v>
      </c>
      <c r="H153" s="13">
        <v>0</v>
      </c>
      <c r="I153" s="13">
        <v>0</v>
      </c>
      <c r="J153" s="12">
        <v>0</v>
      </c>
      <c r="K153" s="13">
        <v>0</v>
      </c>
      <c r="L153" s="13">
        <v>0</v>
      </c>
      <c r="M153" s="12">
        <v>0</v>
      </c>
      <c r="N153" s="13">
        <v>0</v>
      </c>
      <c r="O153" s="13">
        <f t="shared" si="12"/>
        <v>0</v>
      </c>
      <c r="P153" s="12">
        <f t="shared" si="13"/>
        <v>0</v>
      </c>
      <c r="Q153" s="13">
        <f t="shared" si="13"/>
        <v>0</v>
      </c>
      <c r="R153" s="8">
        <f t="shared" si="14"/>
        <v>0</v>
      </c>
      <c r="S153" s="11">
        <f t="shared" si="14"/>
        <v>0</v>
      </c>
      <c r="T153" s="8">
        <f t="shared" si="15"/>
        <v>0</v>
      </c>
      <c r="U153" s="13">
        <f t="shared" si="16"/>
        <v>0</v>
      </c>
      <c r="V153" s="12">
        <f t="shared" si="16"/>
        <v>0</v>
      </c>
      <c r="W153" s="13">
        <f t="shared" si="17"/>
        <v>0</v>
      </c>
    </row>
    <row r="154" spans="1:23" x14ac:dyDescent="0.2">
      <c r="A154" s="25" t="s">
        <v>129</v>
      </c>
      <c r="B154" s="25" t="s">
        <v>142</v>
      </c>
      <c r="C154" s="25">
        <v>336</v>
      </c>
      <c r="D154" s="25" t="s">
        <v>55</v>
      </c>
      <c r="E154" s="25" t="s">
        <v>31</v>
      </c>
      <c r="F154" s="25">
        <v>201807</v>
      </c>
      <c r="G154" s="13">
        <v>0</v>
      </c>
      <c r="H154" s="13">
        <v>0</v>
      </c>
      <c r="I154" s="13">
        <v>0</v>
      </c>
      <c r="J154" s="12">
        <v>0</v>
      </c>
      <c r="K154" s="13">
        <v>0</v>
      </c>
      <c r="L154" s="13">
        <v>0</v>
      </c>
      <c r="M154" s="12">
        <v>0</v>
      </c>
      <c r="N154" s="13">
        <v>0</v>
      </c>
      <c r="O154" s="13">
        <f t="shared" si="12"/>
        <v>0</v>
      </c>
      <c r="P154" s="12">
        <f t="shared" si="13"/>
        <v>0</v>
      </c>
      <c r="Q154" s="13">
        <f t="shared" si="13"/>
        <v>0</v>
      </c>
      <c r="R154" s="8">
        <f t="shared" si="14"/>
        <v>0</v>
      </c>
      <c r="S154" s="11">
        <f t="shared" si="14"/>
        <v>0</v>
      </c>
      <c r="T154" s="8">
        <f t="shared" si="15"/>
        <v>0</v>
      </c>
      <c r="U154" s="13">
        <f t="shared" si="16"/>
        <v>0</v>
      </c>
      <c r="V154" s="12">
        <f t="shared" si="16"/>
        <v>0</v>
      </c>
      <c r="W154" s="13">
        <f t="shared" si="17"/>
        <v>0</v>
      </c>
    </row>
    <row r="155" spans="1:23" x14ac:dyDescent="0.2">
      <c r="A155" s="25" t="s">
        <v>129</v>
      </c>
      <c r="B155" s="25" t="s">
        <v>142</v>
      </c>
      <c r="C155" s="25">
        <v>336</v>
      </c>
      <c r="D155" s="25" t="s">
        <v>55</v>
      </c>
      <c r="E155" s="25" t="s">
        <v>31</v>
      </c>
      <c r="F155" s="25">
        <v>201808</v>
      </c>
      <c r="G155" s="13">
        <v>0</v>
      </c>
      <c r="H155" s="13">
        <v>0</v>
      </c>
      <c r="I155" s="13">
        <v>0</v>
      </c>
      <c r="J155" s="12">
        <v>0</v>
      </c>
      <c r="K155" s="13">
        <v>0</v>
      </c>
      <c r="L155" s="13">
        <v>0</v>
      </c>
      <c r="M155" s="12">
        <v>0</v>
      </c>
      <c r="N155" s="13">
        <v>0</v>
      </c>
      <c r="O155" s="13">
        <f t="shared" si="12"/>
        <v>0</v>
      </c>
      <c r="P155" s="12">
        <f t="shared" si="13"/>
        <v>0</v>
      </c>
      <c r="Q155" s="13">
        <f t="shared" si="13"/>
        <v>0</v>
      </c>
      <c r="R155" s="8">
        <f t="shared" si="14"/>
        <v>0</v>
      </c>
      <c r="S155" s="11">
        <f t="shared" si="14"/>
        <v>0</v>
      </c>
      <c r="T155" s="8">
        <f t="shared" si="15"/>
        <v>0</v>
      </c>
      <c r="U155" s="13">
        <f t="shared" si="16"/>
        <v>0</v>
      </c>
      <c r="V155" s="12">
        <f t="shared" si="16"/>
        <v>0</v>
      </c>
      <c r="W155" s="13">
        <f t="shared" si="17"/>
        <v>0</v>
      </c>
    </row>
    <row r="156" spans="1:23" x14ac:dyDescent="0.2">
      <c r="A156" s="25" t="s">
        <v>129</v>
      </c>
      <c r="B156" s="25" t="s">
        <v>142</v>
      </c>
      <c r="C156" s="25">
        <v>336</v>
      </c>
      <c r="D156" s="25" t="s">
        <v>55</v>
      </c>
      <c r="E156" s="25" t="s">
        <v>31</v>
      </c>
      <c r="F156" s="25">
        <v>201809</v>
      </c>
      <c r="G156" s="13">
        <v>0</v>
      </c>
      <c r="H156" s="13">
        <v>0</v>
      </c>
      <c r="I156" s="13">
        <v>0</v>
      </c>
      <c r="J156" s="12">
        <v>0</v>
      </c>
      <c r="K156" s="13">
        <v>0</v>
      </c>
      <c r="L156" s="13">
        <v>0</v>
      </c>
      <c r="M156" s="12">
        <v>0</v>
      </c>
      <c r="N156" s="13">
        <v>0</v>
      </c>
      <c r="O156" s="13">
        <f t="shared" si="12"/>
        <v>0</v>
      </c>
      <c r="P156" s="12">
        <f t="shared" si="13"/>
        <v>0</v>
      </c>
      <c r="Q156" s="13">
        <f t="shared" si="13"/>
        <v>0</v>
      </c>
      <c r="R156" s="8">
        <f t="shared" si="14"/>
        <v>0</v>
      </c>
      <c r="S156" s="11">
        <f t="shared" si="14"/>
        <v>0</v>
      </c>
      <c r="T156" s="8">
        <f t="shared" si="15"/>
        <v>0</v>
      </c>
      <c r="U156" s="13">
        <f t="shared" si="16"/>
        <v>0</v>
      </c>
      <c r="V156" s="12">
        <f t="shared" si="16"/>
        <v>0</v>
      </c>
      <c r="W156" s="13">
        <f t="shared" si="17"/>
        <v>0</v>
      </c>
    </row>
    <row r="157" spans="1:23" x14ac:dyDescent="0.2">
      <c r="A157" s="25" t="s">
        <v>129</v>
      </c>
      <c r="B157" s="25" t="s">
        <v>142</v>
      </c>
      <c r="C157" s="25">
        <v>336</v>
      </c>
      <c r="D157" s="25" t="s">
        <v>55</v>
      </c>
      <c r="E157" s="25" t="s">
        <v>31</v>
      </c>
      <c r="F157" s="25">
        <v>201810</v>
      </c>
      <c r="G157" s="13">
        <v>0</v>
      </c>
      <c r="H157" s="13">
        <v>0</v>
      </c>
      <c r="I157" s="13">
        <v>0</v>
      </c>
      <c r="J157" s="12">
        <v>0</v>
      </c>
      <c r="K157" s="13">
        <v>0</v>
      </c>
      <c r="L157" s="13">
        <v>0</v>
      </c>
      <c r="M157" s="12">
        <v>0</v>
      </c>
      <c r="N157" s="13">
        <v>0</v>
      </c>
      <c r="O157" s="13">
        <f t="shared" si="12"/>
        <v>0</v>
      </c>
      <c r="P157" s="12">
        <f t="shared" si="13"/>
        <v>0</v>
      </c>
      <c r="Q157" s="13">
        <f t="shared" si="13"/>
        <v>0</v>
      </c>
      <c r="R157" s="8">
        <f t="shared" si="14"/>
        <v>0</v>
      </c>
      <c r="S157" s="11">
        <f t="shared" si="14"/>
        <v>0</v>
      </c>
      <c r="T157" s="8">
        <f t="shared" si="15"/>
        <v>0</v>
      </c>
      <c r="U157" s="13">
        <f t="shared" si="16"/>
        <v>0</v>
      </c>
      <c r="V157" s="12">
        <f t="shared" si="16"/>
        <v>0</v>
      </c>
      <c r="W157" s="13">
        <f t="shared" si="17"/>
        <v>0</v>
      </c>
    </row>
    <row r="158" spans="1:23" x14ac:dyDescent="0.2">
      <c r="A158" s="25" t="s">
        <v>129</v>
      </c>
      <c r="B158" s="25" t="s">
        <v>142</v>
      </c>
      <c r="C158" s="25">
        <v>336</v>
      </c>
      <c r="D158" s="25" t="s">
        <v>55</v>
      </c>
      <c r="E158" s="25" t="s">
        <v>31</v>
      </c>
      <c r="F158" s="25">
        <v>201811</v>
      </c>
      <c r="G158" s="13">
        <v>0</v>
      </c>
      <c r="H158" s="13">
        <v>0</v>
      </c>
      <c r="I158" s="13">
        <v>0</v>
      </c>
      <c r="J158" s="12">
        <v>0</v>
      </c>
      <c r="K158" s="13">
        <v>0</v>
      </c>
      <c r="L158" s="13">
        <v>0</v>
      </c>
      <c r="M158" s="12">
        <v>0</v>
      </c>
      <c r="N158" s="13">
        <v>0</v>
      </c>
      <c r="O158" s="13">
        <f t="shared" si="12"/>
        <v>0</v>
      </c>
      <c r="P158" s="12">
        <f t="shared" si="13"/>
        <v>0</v>
      </c>
      <c r="Q158" s="13">
        <f t="shared" si="13"/>
        <v>0</v>
      </c>
      <c r="R158" s="8">
        <f t="shared" si="14"/>
        <v>0</v>
      </c>
      <c r="S158" s="11">
        <f t="shared" si="14"/>
        <v>0</v>
      </c>
      <c r="T158" s="8">
        <f t="shared" si="15"/>
        <v>0</v>
      </c>
      <c r="U158" s="13">
        <f t="shared" si="16"/>
        <v>0</v>
      </c>
      <c r="V158" s="12">
        <f t="shared" si="16"/>
        <v>0</v>
      </c>
      <c r="W158" s="13">
        <f t="shared" si="17"/>
        <v>0</v>
      </c>
    </row>
    <row r="159" spans="1:23" x14ac:dyDescent="0.2">
      <c r="A159" s="25" t="s">
        <v>129</v>
      </c>
      <c r="B159" s="25" t="s">
        <v>142</v>
      </c>
      <c r="C159" s="25">
        <v>336</v>
      </c>
      <c r="D159" s="25" t="s">
        <v>55</v>
      </c>
      <c r="E159" s="25" t="s">
        <v>31</v>
      </c>
      <c r="F159" s="25">
        <v>201812</v>
      </c>
      <c r="G159" s="13">
        <v>0</v>
      </c>
      <c r="H159" s="13">
        <v>0</v>
      </c>
      <c r="I159" s="13">
        <v>0</v>
      </c>
      <c r="J159" s="12">
        <v>0</v>
      </c>
      <c r="K159" s="13">
        <v>0</v>
      </c>
      <c r="L159" s="13">
        <v>0</v>
      </c>
      <c r="M159" s="12">
        <v>0</v>
      </c>
      <c r="N159" s="13">
        <v>0</v>
      </c>
      <c r="O159" s="13">
        <f t="shared" si="12"/>
        <v>0</v>
      </c>
      <c r="P159" s="12">
        <f t="shared" si="13"/>
        <v>0</v>
      </c>
      <c r="Q159" s="13">
        <f t="shared" si="13"/>
        <v>0</v>
      </c>
      <c r="R159" s="8">
        <f t="shared" si="14"/>
        <v>0</v>
      </c>
      <c r="S159" s="11">
        <f t="shared" si="14"/>
        <v>0</v>
      </c>
      <c r="T159" s="8">
        <f t="shared" si="15"/>
        <v>0</v>
      </c>
      <c r="U159" s="13">
        <f t="shared" si="16"/>
        <v>0</v>
      </c>
      <c r="V159" s="12">
        <f t="shared" si="16"/>
        <v>0</v>
      </c>
      <c r="W159" s="13">
        <f t="shared" si="17"/>
        <v>0</v>
      </c>
    </row>
    <row r="160" spans="1:23" x14ac:dyDescent="0.2">
      <c r="A160" s="25" t="s">
        <v>129</v>
      </c>
      <c r="B160" s="25" t="s">
        <v>143</v>
      </c>
      <c r="C160" s="25">
        <v>342</v>
      </c>
      <c r="D160" s="25" t="s">
        <v>54</v>
      </c>
      <c r="E160" s="25" t="s">
        <v>31</v>
      </c>
      <c r="F160" s="25">
        <v>201807</v>
      </c>
      <c r="G160" s="13">
        <v>0</v>
      </c>
      <c r="H160" s="13">
        <v>0</v>
      </c>
      <c r="I160" s="13">
        <v>0</v>
      </c>
      <c r="J160" s="12">
        <v>0</v>
      </c>
      <c r="K160" s="13">
        <v>0</v>
      </c>
      <c r="L160" s="13">
        <v>0</v>
      </c>
      <c r="M160" s="12">
        <v>0</v>
      </c>
      <c r="N160" s="13">
        <v>0</v>
      </c>
      <c r="O160" s="13">
        <f t="shared" si="12"/>
        <v>0</v>
      </c>
      <c r="P160" s="12">
        <f t="shared" si="13"/>
        <v>0</v>
      </c>
      <c r="Q160" s="13">
        <f t="shared" si="13"/>
        <v>0</v>
      </c>
      <c r="R160" s="8">
        <f t="shared" si="14"/>
        <v>0</v>
      </c>
      <c r="S160" s="11">
        <f t="shared" si="14"/>
        <v>0</v>
      </c>
      <c r="T160" s="8">
        <f t="shared" si="15"/>
        <v>0</v>
      </c>
      <c r="U160" s="13">
        <f t="shared" si="16"/>
        <v>0</v>
      </c>
      <c r="V160" s="12">
        <f t="shared" si="16"/>
        <v>0</v>
      </c>
      <c r="W160" s="13">
        <f t="shared" si="17"/>
        <v>0</v>
      </c>
    </row>
    <row r="161" spans="1:23" x14ac:dyDescent="0.2">
      <c r="A161" s="25" t="s">
        <v>129</v>
      </c>
      <c r="B161" s="25" t="s">
        <v>143</v>
      </c>
      <c r="C161" s="25">
        <v>342</v>
      </c>
      <c r="D161" s="25" t="s">
        <v>54</v>
      </c>
      <c r="E161" s="25" t="s">
        <v>31</v>
      </c>
      <c r="F161" s="25">
        <v>201808</v>
      </c>
      <c r="G161" s="13">
        <v>0</v>
      </c>
      <c r="H161" s="13">
        <v>0</v>
      </c>
      <c r="I161" s="13">
        <v>0</v>
      </c>
      <c r="J161" s="12">
        <v>0</v>
      </c>
      <c r="K161" s="13">
        <v>0</v>
      </c>
      <c r="L161" s="13">
        <v>0</v>
      </c>
      <c r="M161" s="12">
        <v>0</v>
      </c>
      <c r="N161" s="13">
        <v>0</v>
      </c>
      <c r="O161" s="13">
        <f t="shared" si="12"/>
        <v>0</v>
      </c>
      <c r="P161" s="12">
        <f t="shared" si="13"/>
        <v>0</v>
      </c>
      <c r="Q161" s="13">
        <f t="shared" si="13"/>
        <v>0</v>
      </c>
      <c r="R161" s="8">
        <f t="shared" si="14"/>
        <v>0</v>
      </c>
      <c r="S161" s="11">
        <f t="shared" si="14"/>
        <v>0</v>
      </c>
      <c r="T161" s="8">
        <f t="shared" si="15"/>
        <v>0</v>
      </c>
      <c r="U161" s="13">
        <f t="shared" si="16"/>
        <v>0</v>
      </c>
      <c r="V161" s="12">
        <f t="shared" si="16"/>
        <v>0</v>
      </c>
      <c r="W161" s="13">
        <f t="shared" si="17"/>
        <v>0</v>
      </c>
    </row>
    <row r="162" spans="1:23" x14ac:dyDescent="0.2">
      <c r="A162" s="25" t="s">
        <v>129</v>
      </c>
      <c r="B162" s="25" t="s">
        <v>143</v>
      </c>
      <c r="C162" s="25">
        <v>342</v>
      </c>
      <c r="D162" s="25" t="s">
        <v>54</v>
      </c>
      <c r="E162" s="25" t="s">
        <v>31</v>
      </c>
      <c r="F162" s="25">
        <v>201809</v>
      </c>
      <c r="G162" s="13">
        <v>0</v>
      </c>
      <c r="H162" s="13">
        <v>0</v>
      </c>
      <c r="I162" s="13">
        <v>0</v>
      </c>
      <c r="J162" s="12">
        <v>0</v>
      </c>
      <c r="K162" s="13">
        <v>0</v>
      </c>
      <c r="L162" s="13">
        <v>0</v>
      </c>
      <c r="M162" s="12">
        <v>0</v>
      </c>
      <c r="N162" s="13">
        <v>0</v>
      </c>
      <c r="O162" s="13">
        <f t="shared" si="12"/>
        <v>0</v>
      </c>
      <c r="P162" s="12">
        <f t="shared" si="13"/>
        <v>0</v>
      </c>
      <c r="Q162" s="13">
        <f t="shared" si="13"/>
        <v>0</v>
      </c>
      <c r="R162" s="8">
        <f t="shared" si="14"/>
        <v>0</v>
      </c>
      <c r="S162" s="11">
        <f t="shared" si="14"/>
        <v>0</v>
      </c>
      <c r="T162" s="8">
        <f t="shared" si="15"/>
        <v>0</v>
      </c>
      <c r="U162" s="13">
        <f t="shared" si="16"/>
        <v>0</v>
      </c>
      <c r="V162" s="12">
        <f t="shared" si="16"/>
        <v>0</v>
      </c>
      <c r="W162" s="13">
        <f t="shared" si="17"/>
        <v>0</v>
      </c>
    </row>
    <row r="163" spans="1:23" x14ac:dyDescent="0.2">
      <c r="A163" s="25" t="s">
        <v>129</v>
      </c>
      <c r="B163" s="25" t="s">
        <v>143</v>
      </c>
      <c r="C163" s="25">
        <v>342</v>
      </c>
      <c r="D163" s="25" t="s">
        <v>54</v>
      </c>
      <c r="E163" s="25" t="s">
        <v>31</v>
      </c>
      <c r="F163" s="25">
        <v>201810</v>
      </c>
      <c r="G163" s="13">
        <v>0</v>
      </c>
      <c r="H163" s="13">
        <v>0</v>
      </c>
      <c r="I163" s="13">
        <v>0</v>
      </c>
      <c r="J163" s="12">
        <v>0</v>
      </c>
      <c r="K163" s="13">
        <v>0</v>
      </c>
      <c r="L163" s="13">
        <v>0</v>
      </c>
      <c r="M163" s="12">
        <v>0</v>
      </c>
      <c r="N163" s="13">
        <v>0</v>
      </c>
      <c r="O163" s="13">
        <f t="shared" si="12"/>
        <v>0</v>
      </c>
      <c r="P163" s="12">
        <f t="shared" si="13"/>
        <v>0</v>
      </c>
      <c r="Q163" s="13">
        <f t="shared" si="13"/>
        <v>0</v>
      </c>
      <c r="R163" s="8">
        <f t="shared" si="14"/>
        <v>0</v>
      </c>
      <c r="S163" s="11">
        <f t="shared" si="14"/>
        <v>0</v>
      </c>
      <c r="T163" s="8">
        <f t="shared" si="15"/>
        <v>0</v>
      </c>
      <c r="U163" s="13">
        <f t="shared" si="16"/>
        <v>0</v>
      </c>
      <c r="V163" s="12">
        <f t="shared" si="16"/>
        <v>0</v>
      </c>
      <c r="W163" s="13">
        <f t="shared" si="17"/>
        <v>0</v>
      </c>
    </row>
    <row r="164" spans="1:23" x14ac:dyDescent="0.2">
      <c r="A164" s="25" t="s">
        <v>129</v>
      </c>
      <c r="B164" s="25" t="s">
        <v>143</v>
      </c>
      <c r="C164" s="25">
        <v>342</v>
      </c>
      <c r="D164" s="25" t="s">
        <v>54</v>
      </c>
      <c r="E164" s="25" t="s">
        <v>31</v>
      </c>
      <c r="F164" s="25">
        <v>201811</v>
      </c>
      <c r="G164" s="13">
        <v>0</v>
      </c>
      <c r="H164" s="13">
        <v>0</v>
      </c>
      <c r="I164" s="13">
        <v>0</v>
      </c>
      <c r="J164" s="12">
        <v>0</v>
      </c>
      <c r="K164" s="13">
        <v>0</v>
      </c>
      <c r="L164" s="13">
        <v>0</v>
      </c>
      <c r="M164" s="12">
        <v>0</v>
      </c>
      <c r="N164" s="13">
        <v>0</v>
      </c>
      <c r="O164" s="13">
        <f t="shared" si="12"/>
        <v>0</v>
      </c>
      <c r="P164" s="12">
        <f t="shared" si="13"/>
        <v>0</v>
      </c>
      <c r="Q164" s="13">
        <f t="shared" si="13"/>
        <v>0</v>
      </c>
      <c r="R164" s="8">
        <f t="shared" si="14"/>
        <v>0</v>
      </c>
      <c r="S164" s="11">
        <f t="shared" si="14"/>
        <v>0</v>
      </c>
      <c r="T164" s="8">
        <f t="shared" si="15"/>
        <v>0</v>
      </c>
      <c r="U164" s="13">
        <f t="shared" si="16"/>
        <v>0</v>
      </c>
      <c r="V164" s="12">
        <f t="shared" si="16"/>
        <v>0</v>
      </c>
      <c r="W164" s="13">
        <f t="shared" si="17"/>
        <v>0</v>
      </c>
    </row>
    <row r="165" spans="1:23" x14ac:dyDescent="0.2">
      <c r="A165" s="25" t="s">
        <v>129</v>
      </c>
      <c r="B165" s="25" t="s">
        <v>143</v>
      </c>
      <c r="C165" s="25">
        <v>342</v>
      </c>
      <c r="D165" s="25" t="s">
        <v>54</v>
      </c>
      <c r="E165" s="25" t="s">
        <v>31</v>
      </c>
      <c r="F165" s="25">
        <v>201812</v>
      </c>
      <c r="G165" s="13">
        <v>0</v>
      </c>
      <c r="H165" s="13">
        <v>0</v>
      </c>
      <c r="I165" s="13">
        <v>0</v>
      </c>
      <c r="J165" s="12">
        <v>0</v>
      </c>
      <c r="K165" s="13">
        <v>0</v>
      </c>
      <c r="L165" s="13">
        <v>0</v>
      </c>
      <c r="M165" s="12">
        <v>0</v>
      </c>
      <c r="N165" s="13">
        <v>0</v>
      </c>
      <c r="O165" s="13">
        <f t="shared" si="12"/>
        <v>0</v>
      </c>
      <c r="P165" s="12">
        <f t="shared" si="13"/>
        <v>0</v>
      </c>
      <c r="Q165" s="13">
        <f t="shared" si="13"/>
        <v>0</v>
      </c>
      <c r="R165" s="8">
        <f t="shared" si="14"/>
        <v>0</v>
      </c>
      <c r="S165" s="11">
        <f t="shared" si="14"/>
        <v>0</v>
      </c>
      <c r="T165" s="8">
        <f t="shared" si="15"/>
        <v>0</v>
      </c>
      <c r="U165" s="13">
        <f t="shared" si="16"/>
        <v>0</v>
      </c>
      <c r="V165" s="12">
        <f t="shared" si="16"/>
        <v>0</v>
      </c>
      <c r="W165" s="13">
        <f t="shared" si="17"/>
        <v>0</v>
      </c>
    </row>
    <row r="166" spans="1:23" x14ac:dyDescent="0.2">
      <c r="A166" s="25" t="s">
        <v>129</v>
      </c>
      <c r="B166" s="25" t="s">
        <v>143</v>
      </c>
      <c r="C166" s="25">
        <v>342</v>
      </c>
      <c r="D166" s="25" t="s">
        <v>55</v>
      </c>
      <c r="E166" s="25" t="s">
        <v>31</v>
      </c>
      <c r="F166" s="25">
        <v>201807</v>
      </c>
      <c r="G166" s="13">
        <v>2</v>
      </c>
      <c r="H166" s="13">
        <v>0</v>
      </c>
      <c r="I166" s="13">
        <v>0</v>
      </c>
      <c r="J166" s="12">
        <v>0</v>
      </c>
      <c r="K166" s="13">
        <v>0</v>
      </c>
      <c r="L166" s="13">
        <v>0</v>
      </c>
      <c r="M166" s="12">
        <v>0</v>
      </c>
      <c r="N166" s="13">
        <v>0</v>
      </c>
      <c r="O166" s="13">
        <f t="shared" si="12"/>
        <v>2</v>
      </c>
      <c r="P166" s="12">
        <f t="shared" si="13"/>
        <v>0</v>
      </c>
      <c r="Q166" s="13">
        <f t="shared" si="13"/>
        <v>0</v>
      </c>
      <c r="R166" s="8">
        <v>0</v>
      </c>
      <c r="S166" s="11">
        <f t="shared" si="14"/>
        <v>0</v>
      </c>
      <c r="T166" s="8">
        <f t="shared" si="15"/>
        <v>0</v>
      </c>
      <c r="U166" s="13">
        <f t="shared" si="16"/>
        <v>0</v>
      </c>
      <c r="V166" s="12">
        <f t="shared" si="16"/>
        <v>0</v>
      </c>
      <c r="W166" s="13">
        <f t="shared" si="17"/>
        <v>0</v>
      </c>
    </row>
    <row r="167" spans="1:23" x14ac:dyDescent="0.2">
      <c r="A167" s="25" t="s">
        <v>129</v>
      </c>
      <c r="B167" s="25" t="s">
        <v>143</v>
      </c>
      <c r="C167" s="25">
        <v>342</v>
      </c>
      <c r="D167" s="25" t="s">
        <v>55</v>
      </c>
      <c r="E167" s="25" t="s">
        <v>31</v>
      </c>
      <c r="F167" s="25">
        <v>201808</v>
      </c>
      <c r="G167" s="13">
        <v>2</v>
      </c>
      <c r="H167" s="13">
        <v>0</v>
      </c>
      <c r="I167" s="13">
        <v>0</v>
      </c>
      <c r="J167" s="12">
        <v>0</v>
      </c>
      <c r="K167" s="13">
        <v>0</v>
      </c>
      <c r="L167" s="13">
        <v>0</v>
      </c>
      <c r="M167" s="12">
        <v>0</v>
      </c>
      <c r="N167" s="13">
        <v>0</v>
      </c>
      <c r="O167" s="13">
        <f t="shared" si="12"/>
        <v>2</v>
      </c>
      <c r="P167" s="12">
        <f t="shared" si="13"/>
        <v>0</v>
      </c>
      <c r="Q167" s="13">
        <f t="shared" si="13"/>
        <v>0</v>
      </c>
      <c r="R167" s="8">
        <v>0</v>
      </c>
      <c r="S167" s="11">
        <f t="shared" si="14"/>
        <v>0</v>
      </c>
      <c r="T167" s="8">
        <f t="shared" si="15"/>
        <v>0</v>
      </c>
      <c r="U167" s="13">
        <f t="shared" si="16"/>
        <v>0</v>
      </c>
      <c r="V167" s="12">
        <f t="shared" si="16"/>
        <v>0</v>
      </c>
      <c r="W167" s="13">
        <f t="shared" si="17"/>
        <v>0</v>
      </c>
    </row>
    <row r="168" spans="1:23" x14ac:dyDescent="0.2">
      <c r="A168" s="25" t="s">
        <v>129</v>
      </c>
      <c r="B168" s="25" t="s">
        <v>143</v>
      </c>
      <c r="C168" s="25">
        <v>342</v>
      </c>
      <c r="D168" s="25" t="s">
        <v>55</v>
      </c>
      <c r="E168" s="25" t="s">
        <v>31</v>
      </c>
      <c r="F168" s="25">
        <v>201809</v>
      </c>
      <c r="G168" s="13">
        <v>2</v>
      </c>
      <c r="H168" s="13">
        <v>0</v>
      </c>
      <c r="I168" s="13">
        <v>0</v>
      </c>
      <c r="J168" s="12">
        <v>0</v>
      </c>
      <c r="K168" s="13">
        <v>0</v>
      </c>
      <c r="L168" s="13">
        <v>0</v>
      </c>
      <c r="M168" s="12">
        <v>0</v>
      </c>
      <c r="N168" s="13">
        <v>0</v>
      </c>
      <c r="O168" s="13">
        <f t="shared" si="12"/>
        <v>2</v>
      </c>
      <c r="P168" s="12">
        <f t="shared" si="13"/>
        <v>0</v>
      </c>
      <c r="Q168" s="13">
        <f t="shared" si="13"/>
        <v>0</v>
      </c>
      <c r="R168" s="8">
        <v>0</v>
      </c>
      <c r="S168" s="11">
        <f t="shared" si="14"/>
        <v>0</v>
      </c>
      <c r="T168" s="8">
        <f t="shared" si="15"/>
        <v>0</v>
      </c>
      <c r="U168" s="13">
        <f t="shared" si="16"/>
        <v>0</v>
      </c>
      <c r="V168" s="12">
        <f t="shared" si="16"/>
        <v>0</v>
      </c>
      <c r="W168" s="13">
        <f t="shared" si="17"/>
        <v>0</v>
      </c>
    </row>
    <row r="169" spans="1:23" x14ac:dyDescent="0.2">
      <c r="A169" s="25" t="s">
        <v>129</v>
      </c>
      <c r="B169" s="25" t="s">
        <v>143</v>
      </c>
      <c r="C169" s="25">
        <v>342</v>
      </c>
      <c r="D169" s="25" t="s">
        <v>55</v>
      </c>
      <c r="E169" s="25" t="s">
        <v>31</v>
      </c>
      <c r="F169" s="25">
        <v>201810</v>
      </c>
      <c r="G169" s="13">
        <v>2</v>
      </c>
      <c r="H169" s="13">
        <v>0</v>
      </c>
      <c r="I169" s="13">
        <v>0</v>
      </c>
      <c r="J169" s="12">
        <v>0</v>
      </c>
      <c r="K169" s="13">
        <v>0</v>
      </c>
      <c r="L169" s="13">
        <v>0</v>
      </c>
      <c r="M169" s="12">
        <v>0</v>
      </c>
      <c r="N169" s="13">
        <v>0</v>
      </c>
      <c r="O169" s="13">
        <f t="shared" si="12"/>
        <v>2</v>
      </c>
      <c r="P169" s="12">
        <f t="shared" si="13"/>
        <v>0</v>
      </c>
      <c r="Q169" s="13">
        <f t="shared" si="13"/>
        <v>0</v>
      </c>
      <c r="R169" s="8">
        <v>0</v>
      </c>
      <c r="S169" s="11">
        <f t="shared" si="14"/>
        <v>0</v>
      </c>
      <c r="T169" s="8">
        <f t="shared" si="15"/>
        <v>0</v>
      </c>
      <c r="U169" s="13">
        <f t="shared" si="16"/>
        <v>0</v>
      </c>
      <c r="V169" s="12">
        <f t="shared" si="16"/>
        <v>0</v>
      </c>
      <c r="W169" s="13">
        <f t="shared" si="17"/>
        <v>0</v>
      </c>
    </row>
    <row r="170" spans="1:23" x14ac:dyDescent="0.2">
      <c r="A170" s="25" t="s">
        <v>129</v>
      </c>
      <c r="B170" s="25" t="s">
        <v>143</v>
      </c>
      <c r="C170" s="25">
        <v>342</v>
      </c>
      <c r="D170" s="25" t="s">
        <v>55</v>
      </c>
      <c r="E170" s="25" t="s">
        <v>31</v>
      </c>
      <c r="F170" s="25">
        <v>201811</v>
      </c>
      <c r="G170" s="13">
        <v>2</v>
      </c>
      <c r="H170" s="13">
        <v>0</v>
      </c>
      <c r="I170" s="13">
        <v>0</v>
      </c>
      <c r="J170" s="12">
        <v>0</v>
      </c>
      <c r="K170" s="13">
        <v>0</v>
      </c>
      <c r="L170" s="13">
        <v>0</v>
      </c>
      <c r="M170" s="12">
        <v>0</v>
      </c>
      <c r="N170" s="13">
        <v>0</v>
      </c>
      <c r="O170" s="13">
        <f t="shared" si="12"/>
        <v>2</v>
      </c>
      <c r="P170" s="12">
        <f t="shared" si="13"/>
        <v>0</v>
      </c>
      <c r="Q170" s="13">
        <f t="shared" si="13"/>
        <v>0</v>
      </c>
      <c r="R170" s="8">
        <v>0</v>
      </c>
      <c r="S170" s="11">
        <f t="shared" si="14"/>
        <v>0</v>
      </c>
      <c r="T170" s="8">
        <f t="shared" si="15"/>
        <v>0</v>
      </c>
      <c r="U170" s="13">
        <f t="shared" si="16"/>
        <v>0</v>
      </c>
      <c r="V170" s="12">
        <f t="shared" si="16"/>
        <v>0</v>
      </c>
      <c r="W170" s="13">
        <f t="shared" si="17"/>
        <v>0</v>
      </c>
    </row>
    <row r="171" spans="1:23" x14ac:dyDescent="0.2">
      <c r="A171" s="25" t="s">
        <v>129</v>
      </c>
      <c r="B171" s="25" t="s">
        <v>143</v>
      </c>
      <c r="C171" s="25">
        <v>342</v>
      </c>
      <c r="D171" s="25" t="s">
        <v>55</v>
      </c>
      <c r="E171" s="25" t="s">
        <v>31</v>
      </c>
      <c r="F171" s="25">
        <v>201812</v>
      </c>
      <c r="G171" s="13">
        <v>2</v>
      </c>
      <c r="H171" s="13">
        <v>0</v>
      </c>
      <c r="I171" s="13">
        <v>0</v>
      </c>
      <c r="J171" s="12">
        <v>0</v>
      </c>
      <c r="K171" s="13">
        <v>0</v>
      </c>
      <c r="L171" s="13">
        <v>2</v>
      </c>
      <c r="M171" s="12">
        <v>0</v>
      </c>
      <c r="N171" s="13">
        <v>0</v>
      </c>
      <c r="O171" s="13">
        <f t="shared" si="12"/>
        <v>2</v>
      </c>
      <c r="P171" s="12">
        <f t="shared" si="13"/>
        <v>0</v>
      </c>
      <c r="Q171" s="13">
        <f t="shared" si="13"/>
        <v>0</v>
      </c>
      <c r="R171" s="8">
        <v>0</v>
      </c>
      <c r="S171" s="11">
        <f t="shared" si="14"/>
        <v>0</v>
      </c>
      <c r="T171" s="8">
        <f t="shared" si="15"/>
        <v>0</v>
      </c>
      <c r="U171" s="13">
        <f t="shared" si="16"/>
        <v>0</v>
      </c>
      <c r="V171" s="12">
        <f t="shared" si="16"/>
        <v>0</v>
      </c>
      <c r="W171" s="13">
        <f t="shared" si="17"/>
        <v>0</v>
      </c>
    </row>
  </sheetData>
  <sheetProtection formatColumns="0"/>
  <autoFilter ref="A3:W171">
    <sortState ref="A4:W459">
      <sortCondition ref="B3:B459"/>
    </sortState>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71"/>
  <sheetViews>
    <sheetView workbookViewId="0">
      <pane xSplit="6" ySplit="3" topLeftCell="G4" activePane="bottomRight" state="frozen"/>
      <selection pane="topRight" activeCell="F1" sqref="F1"/>
      <selection pane="bottomLeft" activeCell="A4" sqref="A4"/>
      <selection pane="bottomRight" activeCell="E30" sqref="E30"/>
    </sheetView>
  </sheetViews>
  <sheetFormatPr defaultColWidth="9.1640625" defaultRowHeight="12" x14ac:dyDescent="0.2"/>
  <cols>
    <col min="1" max="1" width="30.33203125" style="21" bestFit="1" customWidth="1"/>
    <col min="2" max="2" width="37.83203125" style="21" bestFit="1" customWidth="1"/>
    <col min="3" max="3" width="5.83203125" style="21" bestFit="1" customWidth="1"/>
    <col min="4" max="4" width="8.83203125" style="21" bestFit="1" customWidth="1"/>
    <col min="5" max="5" width="13.1640625" style="21" bestFit="1" customWidth="1"/>
    <col min="6" max="6" width="24.83203125" style="21" bestFit="1" customWidth="1"/>
    <col min="7" max="7" width="16.83203125" style="21" bestFit="1" customWidth="1"/>
    <col min="8" max="8" width="15.1640625" style="26" bestFit="1" customWidth="1"/>
    <col min="9" max="9" width="20.1640625" style="21" bestFit="1" customWidth="1"/>
    <col min="10" max="16384" width="9.1640625" style="21"/>
  </cols>
  <sheetData>
    <row r="1" spans="1:9" x14ac:dyDescent="0.2">
      <c r="A1" s="15" t="s">
        <v>6</v>
      </c>
      <c r="B1" s="16" t="s">
        <v>0</v>
      </c>
      <c r="C1" s="16"/>
      <c r="D1" s="17" t="s">
        <v>48</v>
      </c>
      <c r="E1" s="18"/>
      <c r="F1" s="17"/>
      <c r="G1" s="18"/>
      <c r="H1" s="19"/>
      <c r="I1" s="20">
        <f>SUM(I4:I171)</f>
        <v>0</v>
      </c>
    </row>
    <row r="2" spans="1:9" x14ac:dyDescent="0.2">
      <c r="A2" s="22"/>
      <c r="B2" s="22"/>
      <c r="C2" s="23"/>
      <c r="D2" s="23"/>
      <c r="E2" s="23"/>
      <c r="F2" s="23"/>
      <c r="G2" s="3" t="s">
        <v>13</v>
      </c>
      <c r="H2" s="9"/>
      <c r="I2" s="2"/>
    </row>
    <row r="3" spans="1:9" x14ac:dyDescent="0.2">
      <c r="A3" s="22" t="s">
        <v>1</v>
      </c>
      <c r="B3" s="22" t="s">
        <v>2</v>
      </c>
      <c r="C3" s="22" t="s">
        <v>19</v>
      </c>
      <c r="D3" s="22" t="s">
        <v>20</v>
      </c>
      <c r="E3" s="22" t="s">
        <v>30</v>
      </c>
      <c r="F3" s="22" t="s">
        <v>3</v>
      </c>
      <c r="G3" s="22" t="s">
        <v>4</v>
      </c>
      <c r="H3" s="24" t="s">
        <v>5</v>
      </c>
      <c r="I3" s="22" t="s">
        <v>15</v>
      </c>
    </row>
    <row r="4" spans="1:9" x14ac:dyDescent="0.2">
      <c r="A4" s="25" t="s">
        <v>129</v>
      </c>
      <c r="B4" s="25" t="s">
        <v>130</v>
      </c>
      <c r="C4" s="25">
        <v>332</v>
      </c>
      <c r="D4" s="25" t="s">
        <v>54</v>
      </c>
      <c r="E4" s="25" t="s">
        <v>31</v>
      </c>
      <c r="F4" s="25">
        <v>201807</v>
      </c>
      <c r="G4" s="13">
        <f>'3. Isi Produksi'!U4</f>
        <v>0</v>
      </c>
      <c r="H4" s="13">
        <f>'3. Isi Produksi'!V4</f>
        <v>0</v>
      </c>
      <c r="I4" s="13">
        <f>'3. Isi Produksi'!W4</f>
        <v>0</v>
      </c>
    </row>
    <row r="5" spans="1:9" x14ac:dyDescent="0.2">
      <c r="A5" s="25" t="s">
        <v>129</v>
      </c>
      <c r="B5" s="25" t="s">
        <v>130</v>
      </c>
      <c r="C5" s="25">
        <v>332</v>
      </c>
      <c r="D5" s="25" t="s">
        <v>54</v>
      </c>
      <c r="E5" s="25" t="s">
        <v>31</v>
      </c>
      <c r="F5" s="25">
        <v>201808</v>
      </c>
      <c r="G5" s="13">
        <f>'3. Isi Produksi'!U5</f>
        <v>0</v>
      </c>
      <c r="H5" s="13">
        <f>'3. Isi Produksi'!V5</f>
        <v>0</v>
      </c>
      <c r="I5" s="13">
        <f>'3. Isi Produksi'!W5</f>
        <v>0</v>
      </c>
    </row>
    <row r="6" spans="1:9" x14ac:dyDescent="0.2">
      <c r="A6" s="25" t="s">
        <v>129</v>
      </c>
      <c r="B6" s="25" t="s">
        <v>130</v>
      </c>
      <c r="C6" s="25">
        <v>332</v>
      </c>
      <c r="D6" s="25" t="s">
        <v>54</v>
      </c>
      <c r="E6" s="25" t="s">
        <v>31</v>
      </c>
      <c r="F6" s="25">
        <v>201809</v>
      </c>
      <c r="G6" s="13">
        <f>'3. Isi Produksi'!U6</f>
        <v>0</v>
      </c>
      <c r="H6" s="13">
        <f>'3. Isi Produksi'!V6</f>
        <v>0</v>
      </c>
      <c r="I6" s="13">
        <f>'3. Isi Produksi'!W6</f>
        <v>0</v>
      </c>
    </row>
    <row r="7" spans="1:9" x14ac:dyDescent="0.2">
      <c r="A7" s="25" t="s">
        <v>129</v>
      </c>
      <c r="B7" s="25" t="s">
        <v>130</v>
      </c>
      <c r="C7" s="25">
        <v>332</v>
      </c>
      <c r="D7" s="25" t="s">
        <v>54</v>
      </c>
      <c r="E7" s="25" t="s">
        <v>31</v>
      </c>
      <c r="F7" s="25">
        <v>201810</v>
      </c>
      <c r="G7" s="13">
        <f>'3. Isi Produksi'!U7</f>
        <v>0</v>
      </c>
      <c r="H7" s="13">
        <f>'3. Isi Produksi'!V7</f>
        <v>0</v>
      </c>
      <c r="I7" s="13">
        <f>'3. Isi Produksi'!W7</f>
        <v>0</v>
      </c>
    </row>
    <row r="8" spans="1:9" x14ac:dyDescent="0.2">
      <c r="A8" s="25" t="s">
        <v>129</v>
      </c>
      <c r="B8" s="25" t="s">
        <v>130</v>
      </c>
      <c r="C8" s="25">
        <v>332</v>
      </c>
      <c r="D8" s="25" t="s">
        <v>54</v>
      </c>
      <c r="E8" s="25" t="s">
        <v>31</v>
      </c>
      <c r="F8" s="25">
        <v>201811</v>
      </c>
      <c r="G8" s="13">
        <f>'3. Isi Produksi'!U8</f>
        <v>0</v>
      </c>
      <c r="H8" s="13">
        <f>'3. Isi Produksi'!V8</f>
        <v>0</v>
      </c>
      <c r="I8" s="13">
        <f>'3. Isi Produksi'!W8</f>
        <v>0</v>
      </c>
    </row>
    <row r="9" spans="1:9" x14ac:dyDescent="0.2">
      <c r="A9" s="25" t="s">
        <v>129</v>
      </c>
      <c r="B9" s="25" t="s">
        <v>130</v>
      </c>
      <c r="C9" s="25">
        <v>332</v>
      </c>
      <c r="D9" s="25" t="s">
        <v>54</v>
      </c>
      <c r="E9" s="25" t="s">
        <v>31</v>
      </c>
      <c r="F9" s="25">
        <v>201812</v>
      </c>
      <c r="G9" s="13">
        <f>'3. Isi Produksi'!U9</f>
        <v>0</v>
      </c>
      <c r="H9" s="13">
        <f>'3. Isi Produksi'!V9</f>
        <v>0</v>
      </c>
      <c r="I9" s="13">
        <f>'3. Isi Produksi'!W9</f>
        <v>0</v>
      </c>
    </row>
    <row r="10" spans="1:9" x14ac:dyDescent="0.2">
      <c r="A10" s="25" t="s">
        <v>129</v>
      </c>
      <c r="B10" s="25" t="s">
        <v>130</v>
      </c>
      <c r="C10" s="25">
        <v>332</v>
      </c>
      <c r="D10" s="25" t="s">
        <v>55</v>
      </c>
      <c r="E10" s="25" t="s">
        <v>31</v>
      </c>
      <c r="F10" s="25">
        <v>201807</v>
      </c>
      <c r="G10" s="13">
        <f>'3. Isi Produksi'!U10</f>
        <v>0</v>
      </c>
      <c r="H10" s="13">
        <f>'3. Isi Produksi'!V10</f>
        <v>0</v>
      </c>
      <c r="I10" s="13">
        <f>'3. Isi Produksi'!W10</f>
        <v>0</v>
      </c>
    </row>
    <row r="11" spans="1:9" x14ac:dyDescent="0.2">
      <c r="A11" s="25" t="s">
        <v>129</v>
      </c>
      <c r="B11" s="25" t="s">
        <v>130</v>
      </c>
      <c r="C11" s="25">
        <v>332</v>
      </c>
      <c r="D11" s="25" t="s">
        <v>55</v>
      </c>
      <c r="E11" s="25" t="s">
        <v>31</v>
      </c>
      <c r="F11" s="25">
        <v>201808</v>
      </c>
      <c r="G11" s="13">
        <f>'3. Isi Produksi'!U11</f>
        <v>0</v>
      </c>
      <c r="H11" s="13">
        <f>'3. Isi Produksi'!V11</f>
        <v>0</v>
      </c>
      <c r="I11" s="13">
        <f>'3. Isi Produksi'!W11</f>
        <v>0</v>
      </c>
    </row>
    <row r="12" spans="1:9" x14ac:dyDescent="0.2">
      <c r="A12" s="25" t="s">
        <v>129</v>
      </c>
      <c r="B12" s="25" t="s">
        <v>130</v>
      </c>
      <c r="C12" s="25">
        <v>332</v>
      </c>
      <c r="D12" s="25" t="s">
        <v>55</v>
      </c>
      <c r="E12" s="25" t="s">
        <v>31</v>
      </c>
      <c r="F12" s="25">
        <v>201809</v>
      </c>
      <c r="G12" s="13">
        <f>'3. Isi Produksi'!U12</f>
        <v>0</v>
      </c>
      <c r="H12" s="13">
        <f>'3. Isi Produksi'!V12</f>
        <v>0</v>
      </c>
      <c r="I12" s="13">
        <f>'3. Isi Produksi'!W12</f>
        <v>0</v>
      </c>
    </row>
    <row r="13" spans="1:9" x14ac:dyDescent="0.2">
      <c r="A13" s="25" t="s">
        <v>129</v>
      </c>
      <c r="B13" s="25" t="s">
        <v>130</v>
      </c>
      <c r="C13" s="25">
        <v>332</v>
      </c>
      <c r="D13" s="25" t="s">
        <v>55</v>
      </c>
      <c r="E13" s="25" t="s">
        <v>31</v>
      </c>
      <c r="F13" s="25">
        <v>201810</v>
      </c>
      <c r="G13" s="13">
        <f>'3. Isi Produksi'!U13</f>
        <v>0</v>
      </c>
      <c r="H13" s="13">
        <f>'3. Isi Produksi'!V13</f>
        <v>0</v>
      </c>
      <c r="I13" s="13">
        <f>'3. Isi Produksi'!W13</f>
        <v>0</v>
      </c>
    </row>
    <row r="14" spans="1:9" x14ac:dyDescent="0.2">
      <c r="A14" s="25" t="s">
        <v>129</v>
      </c>
      <c r="B14" s="25" t="s">
        <v>130</v>
      </c>
      <c r="C14" s="25">
        <v>332</v>
      </c>
      <c r="D14" s="25" t="s">
        <v>55</v>
      </c>
      <c r="E14" s="25" t="s">
        <v>31</v>
      </c>
      <c r="F14" s="25">
        <v>201811</v>
      </c>
      <c r="G14" s="13">
        <f>'3. Isi Produksi'!U14</f>
        <v>0</v>
      </c>
      <c r="H14" s="13">
        <f>'3. Isi Produksi'!V14</f>
        <v>0</v>
      </c>
      <c r="I14" s="13">
        <f>'3. Isi Produksi'!W14</f>
        <v>0</v>
      </c>
    </row>
    <row r="15" spans="1:9" x14ac:dyDescent="0.2">
      <c r="A15" s="25" t="s">
        <v>129</v>
      </c>
      <c r="B15" s="25" t="s">
        <v>130</v>
      </c>
      <c r="C15" s="25">
        <v>332</v>
      </c>
      <c r="D15" s="25" t="s">
        <v>55</v>
      </c>
      <c r="E15" s="25" t="s">
        <v>31</v>
      </c>
      <c r="F15" s="25">
        <v>201812</v>
      </c>
      <c r="G15" s="13">
        <f>'3. Isi Produksi'!U15</f>
        <v>0</v>
      </c>
      <c r="H15" s="13">
        <f>'3. Isi Produksi'!V15</f>
        <v>0</v>
      </c>
      <c r="I15" s="13">
        <f>'3. Isi Produksi'!W15</f>
        <v>0</v>
      </c>
    </row>
    <row r="16" spans="1:9" x14ac:dyDescent="0.2">
      <c r="A16" s="25" t="s">
        <v>129</v>
      </c>
      <c r="B16" s="25" t="s">
        <v>131</v>
      </c>
      <c r="C16" s="25">
        <v>341</v>
      </c>
      <c r="D16" s="25" t="s">
        <v>54</v>
      </c>
      <c r="E16" s="25" t="s">
        <v>31</v>
      </c>
      <c r="F16" s="25">
        <v>201807</v>
      </c>
      <c r="G16" s="13">
        <f>'3. Isi Produksi'!U16</f>
        <v>0</v>
      </c>
      <c r="H16" s="13">
        <f>'3. Isi Produksi'!V16</f>
        <v>0</v>
      </c>
      <c r="I16" s="13">
        <f>'3. Isi Produksi'!W16</f>
        <v>0</v>
      </c>
    </row>
    <row r="17" spans="1:9" x14ac:dyDescent="0.2">
      <c r="A17" s="25" t="s">
        <v>129</v>
      </c>
      <c r="B17" s="25" t="s">
        <v>131</v>
      </c>
      <c r="C17" s="25">
        <v>341</v>
      </c>
      <c r="D17" s="25" t="s">
        <v>54</v>
      </c>
      <c r="E17" s="25" t="s">
        <v>31</v>
      </c>
      <c r="F17" s="25">
        <v>201808</v>
      </c>
      <c r="G17" s="13">
        <f>'3. Isi Produksi'!U17</f>
        <v>0</v>
      </c>
      <c r="H17" s="13">
        <f>'3. Isi Produksi'!V17</f>
        <v>0</v>
      </c>
      <c r="I17" s="13">
        <f>'3. Isi Produksi'!W17</f>
        <v>0</v>
      </c>
    </row>
    <row r="18" spans="1:9" x14ac:dyDescent="0.2">
      <c r="A18" s="25" t="s">
        <v>129</v>
      </c>
      <c r="B18" s="25" t="s">
        <v>131</v>
      </c>
      <c r="C18" s="25">
        <v>341</v>
      </c>
      <c r="D18" s="25" t="s">
        <v>54</v>
      </c>
      <c r="E18" s="25" t="s">
        <v>31</v>
      </c>
      <c r="F18" s="25">
        <v>201809</v>
      </c>
      <c r="G18" s="13">
        <f>'3. Isi Produksi'!U18</f>
        <v>0</v>
      </c>
      <c r="H18" s="13">
        <f>'3. Isi Produksi'!V18</f>
        <v>0</v>
      </c>
      <c r="I18" s="13">
        <f>'3. Isi Produksi'!W18</f>
        <v>0</v>
      </c>
    </row>
    <row r="19" spans="1:9" x14ac:dyDescent="0.2">
      <c r="A19" s="25" t="s">
        <v>129</v>
      </c>
      <c r="B19" s="25" t="s">
        <v>131</v>
      </c>
      <c r="C19" s="25">
        <v>341</v>
      </c>
      <c r="D19" s="25" t="s">
        <v>54</v>
      </c>
      <c r="E19" s="25" t="s">
        <v>31</v>
      </c>
      <c r="F19" s="25">
        <v>201810</v>
      </c>
      <c r="G19" s="13">
        <f>'3. Isi Produksi'!U19</f>
        <v>0</v>
      </c>
      <c r="H19" s="13">
        <f>'3. Isi Produksi'!V19</f>
        <v>0</v>
      </c>
      <c r="I19" s="13">
        <f>'3. Isi Produksi'!W19</f>
        <v>0</v>
      </c>
    </row>
    <row r="20" spans="1:9" x14ac:dyDescent="0.2">
      <c r="A20" s="25" t="s">
        <v>129</v>
      </c>
      <c r="B20" s="25" t="s">
        <v>131</v>
      </c>
      <c r="C20" s="25">
        <v>341</v>
      </c>
      <c r="D20" s="25" t="s">
        <v>54</v>
      </c>
      <c r="E20" s="25" t="s">
        <v>31</v>
      </c>
      <c r="F20" s="25">
        <v>201811</v>
      </c>
      <c r="G20" s="13">
        <f>'3. Isi Produksi'!U20</f>
        <v>0</v>
      </c>
      <c r="H20" s="13">
        <f>'3. Isi Produksi'!V20</f>
        <v>0</v>
      </c>
      <c r="I20" s="13">
        <f>'3. Isi Produksi'!W20</f>
        <v>0</v>
      </c>
    </row>
    <row r="21" spans="1:9" x14ac:dyDescent="0.2">
      <c r="A21" s="25" t="s">
        <v>129</v>
      </c>
      <c r="B21" s="25" t="s">
        <v>131</v>
      </c>
      <c r="C21" s="25">
        <v>341</v>
      </c>
      <c r="D21" s="25" t="s">
        <v>54</v>
      </c>
      <c r="E21" s="25" t="s">
        <v>31</v>
      </c>
      <c r="F21" s="25">
        <v>201812</v>
      </c>
      <c r="G21" s="13">
        <f>'3. Isi Produksi'!U21</f>
        <v>0</v>
      </c>
      <c r="H21" s="13">
        <f>'3. Isi Produksi'!V21</f>
        <v>0</v>
      </c>
      <c r="I21" s="13">
        <f>'3. Isi Produksi'!W21</f>
        <v>0</v>
      </c>
    </row>
    <row r="22" spans="1:9" x14ac:dyDescent="0.2">
      <c r="A22" s="25" t="s">
        <v>129</v>
      </c>
      <c r="B22" s="25" t="s">
        <v>131</v>
      </c>
      <c r="C22" s="25">
        <v>341</v>
      </c>
      <c r="D22" s="25" t="s">
        <v>55</v>
      </c>
      <c r="E22" s="25" t="s">
        <v>31</v>
      </c>
      <c r="F22" s="25">
        <v>201807</v>
      </c>
      <c r="G22" s="13">
        <f>'3. Isi Produksi'!U22</f>
        <v>0</v>
      </c>
      <c r="H22" s="13">
        <f>'3. Isi Produksi'!V22</f>
        <v>0</v>
      </c>
      <c r="I22" s="13">
        <f>'3. Isi Produksi'!W22</f>
        <v>0</v>
      </c>
    </row>
    <row r="23" spans="1:9" x14ac:dyDescent="0.2">
      <c r="A23" s="25" t="s">
        <v>129</v>
      </c>
      <c r="B23" s="25" t="s">
        <v>131</v>
      </c>
      <c r="C23" s="25">
        <v>341</v>
      </c>
      <c r="D23" s="25" t="s">
        <v>55</v>
      </c>
      <c r="E23" s="25" t="s">
        <v>31</v>
      </c>
      <c r="F23" s="25">
        <v>201808</v>
      </c>
      <c r="G23" s="13">
        <f>'3. Isi Produksi'!U23</f>
        <v>0</v>
      </c>
      <c r="H23" s="13">
        <f>'3. Isi Produksi'!V23</f>
        <v>0</v>
      </c>
      <c r="I23" s="13">
        <f>'3. Isi Produksi'!W23</f>
        <v>0</v>
      </c>
    </row>
    <row r="24" spans="1:9" x14ac:dyDescent="0.2">
      <c r="A24" s="25" t="s">
        <v>129</v>
      </c>
      <c r="B24" s="25" t="s">
        <v>131</v>
      </c>
      <c r="C24" s="25">
        <v>341</v>
      </c>
      <c r="D24" s="25" t="s">
        <v>55</v>
      </c>
      <c r="E24" s="25" t="s">
        <v>31</v>
      </c>
      <c r="F24" s="25">
        <v>201809</v>
      </c>
      <c r="G24" s="13">
        <f>'3. Isi Produksi'!U24</f>
        <v>0</v>
      </c>
      <c r="H24" s="13">
        <f>'3. Isi Produksi'!V24</f>
        <v>0</v>
      </c>
      <c r="I24" s="13">
        <f>'3. Isi Produksi'!W24</f>
        <v>0</v>
      </c>
    </row>
    <row r="25" spans="1:9" x14ac:dyDescent="0.2">
      <c r="A25" s="25" t="s">
        <v>129</v>
      </c>
      <c r="B25" s="25" t="s">
        <v>131</v>
      </c>
      <c r="C25" s="25">
        <v>341</v>
      </c>
      <c r="D25" s="25" t="s">
        <v>55</v>
      </c>
      <c r="E25" s="25" t="s">
        <v>31</v>
      </c>
      <c r="F25" s="25">
        <v>201810</v>
      </c>
      <c r="G25" s="13">
        <f>'3. Isi Produksi'!U25</f>
        <v>0</v>
      </c>
      <c r="H25" s="13">
        <f>'3. Isi Produksi'!V25</f>
        <v>0</v>
      </c>
      <c r="I25" s="13">
        <f>'3. Isi Produksi'!W25</f>
        <v>0</v>
      </c>
    </row>
    <row r="26" spans="1:9" x14ac:dyDescent="0.2">
      <c r="A26" s="25" t="s">
        <v>129</v>
      </c>
      <c r="B26" s="25" t="s">
        <v>131</v>
      </c>
      <c r="C26" s="25">
        <v>341</v>
      </c>
      <c r="D26" s="25" t="s">
        <v>55</v>
      </c>
      <c r="E26" s="25" t="s">
        <v>31</v>
      </c>
      <c r="F26" s="25">
        <v>201811</v>
      </c>
      <c r="G26" s="13">
        <f>'3. Isi Produksi'!U26</f>
        <v>0</v>
      </c>
      <c r="H26" s="13">
        <f>'3. Isi Produksi'!V26</f>
        <v>0</v>
      </c>
      <c r="I26" s="13">
        <f>'3. Isi Produksi'!W26</f>
        <v>0</v>
      </c>
    </row>
    <row r="27" spans="1:9" x14ac:dyDescent="0.2">
      <c r="A27" s="25" t="s">
        <v>129</v>
      </c>
      <c r="B27" s="25" t="s">
        <v>131</v>
      </c>
      <c r="C27" s="25">
        <v>341</v>
      </c>
      <c r="D27" s="25" t="s">
        <v>55</v>
      </c>
      <c r="E27" s="25" t="s">
        <v>31</v>
      </c>
      <c r="F27" s="25">
        <v>201812</v>
      </c>
      <c r="G27" s="13">
        <f>'3. Isi Produksi'!U27</f>
        <v>0</v>
      </c>
      <c r="H27" s="13">
        <f>'3. Isi Produksi'!V27</f>
        <v>0</v>
      </c>
      <c r="I27" s="13">
        <f>'3. Isi Produksi'!W27</f>
        <v>0</v>
      </c>
    </row>
    <row r="28" spans="1:9" x14ac:dyDescent="0.2">
      <c r="A28" s="25" t="s">
        <v>129</v>
      </c>
      <c r="B28" s="25" t="s">
        <v>132</v>
      </c>
      <c r="C28" s="25">
        <v>333</v>
      </c>
      <c r="D28" s="25" t="s">
        <v>54</v>
      </c>
      <c r="E28" s="25" t="s">
        <v>31</v>
      </c>
      <c r="F28" s="25">
        <v>201807</v>
      </c>
      <c r="G28" s="13">
        <f>'3. Isi Produksi'!U28</f>
        <v>0</v>
      </c>
      <c r="H28" s="13">
        <f>'3. Isi Produksi'!V28</f>
        <v>0</v>
      </c>
      <c r="I28" s="13">
        <f>'3. Isi Produksi'!W28</f>
        <v>0</v>
      </c>
    </row>
    <row r="29" spans="1:9" x14ac:dyDescent="0.2">
      <c r="A29" s="25" t="s">
        <v>129</v>
      </c>
      <c r="B29" s="25" t="s">
        <v>132</v>
      </c>
      <c r="C29" s="25">
        <v>333</v>
      </c>
      <c r="D29" s="25" t="s">
        <v>54</v>
      </c>
      <c r="E29" s="25" t="s">
        <v>31</v>
      </c>
      <c r="F29" s="25">
        <v>201808</v>
      </c>
      <c r="G29" s="13">
        <f>'3. Isi Produksi'!U29</f>
        <v>0</v>
      </c>
      <c r="H29" s="13">
        <f>'3. Isi Produksi'!V29</f>
        <v>0</v>
      </c>
      <c r="I29" s="13">
        <f>'3. Isi Produksi'!W29</f>
        <v>0</v>
      </c>
    </row>
    <row r="30" spans="1:9" x14ac:dyDescent="0.2">
      <c r="A30" s="25" t="s">
        <v>129</v>
      </c>
      <c r="B30" s="25" t="s">
        <v>132</v>
      </c>
      <c r="C30" s="25">
        <v>333</v>
      </c>
      <c r="D30" s="25" t="s">
        <v>54</v>
      </c>
      <c r="E30" s="25" t="s">
        <v>31</v>
      </c>
      <c r="F30" s="25">
        <v>201809</v>
      </c>
      <c r="G30" s="13">
        <f>'3. Isi Produksi'!U30</f>
        <v>0</v>
      </c>
      <c r="H30" s="13">
        <f>'3. Isi Produksi'!V30</f>
        <v>0</v>
      </c>
      <c r="I30" s="13">
        <f>'3. Isi Produksi'!W30</f>
        <v>0</v>
      </c>
    </row>
    <row r="31" spans="1:9" x14ac:dyDescent="0.2">
      <c r="A31" s="25" t="s">
        <v>129</v>
      </c>
      <c r="B31" s="25" t="s">
        <v>132</v>
      </c>
      <c r="C31" s="25">
        <v>333</v>
      </c>
      <c r="D31" s="25" t="s">
        <v>54</v>
      </c>
      <c r="E31" s="25" t="s">
        <v>31</v>
      </c>
      <c r="F31" s="25">
        <v>201810</v>
      </c>
      <c r="G31" s="13">
        <f>'3. Isi Produksi'!U31</f>
        <v>0</v>
      </c>
      <c r="H31" s="13">
        <f>'3. Isi Produksi'!V31</f>
        <v>0</v>
      </c>
      <c r="I31" s="13">
        <f>'3. Isi Produksi'!W31</f>
        <v>0</v>
      </c>
    </row>
    <row r="32" spans="1:9" x14ac:dyDescent="0.2">
      <c r="A32" s="25" t="s">
        <v>129</v>
      </c>
      <c r="B32" s="25" t="s">
        <v>132</v>
      </c>
      <c r="C32" s="25">
        <v>333</v>
      </c>
      <c r="D32" s="25" t="s">
        <v>54</v>
      </c>
      <c r="E32" s="25" t="s">
        <v>31</v>
      </c>
      <c r="F32" s="25">
        <v>201811</v>
      </c>
      <c r="G32" s="13">
        <f>'3. Isi Produksi'!U32</f>
        <v>0</v>
      </c>
      <c r="H32" s="13">
        <f>'3. Isi Produksi'!V32</f>
        <v>0</v>
      </c>
      <c r="I32" s="13">
        <f>'3. Isi Produksi'!W32</f>
        <v>0</v>
      </c>
    </row>
    <row r="33" spans="1:9" x14ac:dyDescent="0.2">
      <c r="A33" s="25" t="s">
        <v>129</v>
      </c>
      <c r="B33" s="25" t="s">
        <v>132</v>
      </c>
      <c r="C33" s="25">
        <v>333</v>
      </c>
      <c r="D33" s="25" t="s">
        <v>54</v>
      </c>
      <c r="E33" s="25" t="s">
        <v>31</v>
      </c>
      <c r="F33" s="25">
        <v>201812</v>
      </c>
      <c r="G33" s="13">
        <f>'3. Isi Produksi'!U33</f>
        <v>0</v>
      </c>
      <c r="H33" s="13">
        <f>'3. Isi Produksi'!V33</f>
        <v>0</v>
      </c>
      <c r="I33" s="13">
        <f>'3. Isi Produksi'!W33</f>
        <v>0</v>
      </c>
    </row>
    <row r="34" spans="1:9" x14ac:dyDescent="0.2">
      <c r="A34" s="25" t="s">
        <v>129</v>
      </c>
      <c r="B34" s="25" t="s">
        <v>132</v>
      </c>
      <c r="C34" s="25">
        <v>333</v>
      </c>
      <c r="D34" s="25" t="s">
        <v>55</v>
      </c>
      <c r="E34" s="25" t="s">
        <v>31</v>
      </c>
      <c r="F34" s="25">
        <v>201807</v>
      </c>
      <c r="G34" s="13">
        <f>'3. Isi Produksi'!U34</f>
        <v>0</v>
      </c>
      <c r="H34" s="13">
        <f>'3. Isi Produksi'!V34</f>
        <v>0</v>
      </c>
      <c r="I34" s="13">
        <f>'3. Isi Produksi'!W34</f>
        <v>0</v>
      </c>
    </row>
    <row r="35" spans="1:9" x14ac:dyDescent="0.2">
      <c r="A35" s="25" t="s">
        <v>129</v>
      </c>
      <c r="B35" s="25" t="s">
        <v>132</v>
      </c>
      <c r="C35" s="25">
        <v>333</v>
      </c>
      <c r="D35" s="25" t="s">
        <v>55</v>
      </c>
      <c r="E35" s="25" t="s">
        <v>31</v>
      </c>
      <c r="F35" s="25">
        <v>201808</v>
      </c>
      <c r="G35" s="13">
        <f>'3. Isi Produksi'!U35</f>
        <v>0</v>
      </c>
      <c r="H35" s="13">
        <f>'3. Isi Produksi'!V35</f>
        <v>0</v>
      </c>
      <c r="I35" s="13">
        <f>'3. Isi Produksi'!W35</f>
        <v>0</v>
      </c>
    </row>
    <row r="36" spans="1:9" x14ac:dyDescent="0.2">
      <c r="A36" s="25" t="s">
        <v>129</v>
      </c>
      <c r="B36" s="25" t="s">
        <v>132</v>
      </c>
      <c r="C36" s="25">
        <v>333</v>
      </c>
      <c r="D36" s="25" t="s">
        <v>55</v>
      </c>
      <c r="E36" s="25" t="s">
        <v>31</v>
      </c>
      <c r="F36" s="25">
        <v>201809</v>
      </c>
      <c r="G36" s="13">
        <f>'3. Isi Produksi'!U36</f>
        <v>0</v>
      </c>
      <c r="H36" s="13">
        <f>'3. Isi Produksi'!V36</f>
        <v>0</v>
      </c>
      <c r="I36" s="13">
        <f>'3. Isi Produksi'!W36</f>
        <v>0</v>
      </c>
    </row>
    <row r="37" spans="1:9" x14ac:dyDescent="0.2">
      <c r="A37" s="25" t="s">
        <v>129</v>
      </c>
      <c r="B37" s="25" t="s">
        <v>132</v>
      </c>
      <c r="C37" s="25">
        <v>333</v>
      </c>
      <c r="D37" s="25" t="s">
        <v>55</v>
      </c>
      <c r="E37" s="25" t="s">
        <v>31</v>
      </c>
      <c r="F37" s="25">
        <v>201810</v>
      </c>
      <c r="G37" s="13">
        <f>'3. Isi Produksi'!U37</f>
        <v>0</v>
      </c>
      <c r="H37" s="13">
        <f>'3. Isi Produksi'!V37</f>
        <v>0</v>
      </c>
      <c r="I37" s="13">
        <f>'3. Isi Produksi'!W37</f>
        <v>0</v>
      </c>
    </row>
    <row r="38" spans="1:9" x14ac:dyDescent="0.2">
      <c r="A38" s="25" t="s">
        <v>129</v>
      </c>
      <c r="B38" s="25" t="s">
        <v>132</v>
      </c>
      <c r="C38" s="25">
        <v>333</v>
      </c>
      <c r="D38" s="25" t="s">
        <v>55</v>
      </c>
      <c r="E38" s="25" t="s">
        <v>31</v>
      </c>
      <c r="F38" s="25">
        <v>201811</v>
      </c>
      <c r="G38" s="13">
        <f>'3. Isi Produksi'!U38</f>
        <v>0</v>
      </c>
      <c r="H38" s="13">
        <f>'3. Isi Produksi'!V38</f>
        <v>0</v>
      </c>
      <c r="I38" s="13">
        <f>'3. Isi Produksi'!W38</f>
        <v>0</v>
      </c>
    </row>
    <row r="39" spans="1:9" x14ac:dyDescent="0.2">
      <c r="A39" s="25" t="s">
        <v>129</v>
      </c>
      <c r="B39" s="25" t="s">
        <v>132</v>
      </c>
      <c r="C39" s="25">
        <v>333</v>
      </c>
      <c r="D39" s="25" t="s">
        <v>55</v>
      </c>
      <c r="E39" s="25" t="s">
        <v>31</v>
      </c>
      <c r="F39" s="25">
        <v>201812</v>
      </c>
      <c r="G39" s="13">
        <f>'3. Isi Produksi'!U39</f>
        <v>0</v>
      </c>
      <c r="H39" s="13">
        <f>'3. Isi Produksi'!V39</f>
        <v>0</v>
      </c>
      <c r="I39" s="13">
        <f>'3. Isi Produksi'!W39</f>
        <v>0</v>
      </c>
    </row>
    <row r="40" spans="1:9" x14ac:dyDescent="0.2">
      <c r="A40" s="25" t="s">
        <v>129</v>
      </c>
      <c r="B40" s="25" t="s">
        <v>133</v>
      </c>
      <c r="C40" s="25">
        <v>338</v>
      </c>
      <c r="D40" s="25" t="s">
        <v>54</v>
      </c>
      <c r="E40" s="25" t="s">
        <v>31</v>
      </c>
      <c r="F40" s="25">
        <v>201807</v>
      </c>
      <c r="G40" s="13">
        <f>'3. Isi Produksi'!U40</f>
        <v>0</v>
      </c>
      <c r="H40" s="13">
        <f>'3. Isi Produksi'!V40</f>
        <v>0</v>
      </c>
      <c r="I40" s="13">
        <f>'3. Isi Produksi'!W40</f>
        <v>0</v>
      </c>
    </row>
    <row r="41" spans="1:9" x14ac:dyDescent="0.2">
      <c r="A41" s="25" t="s">
        <v>129</v>
      </c>
      <c r="B41" s="25" t="s">
        <v>133</v>
      </c>
      <c r="C41" s="25">
        <v>338</v>
      </c>
      <c r="D41" s="25" t="s">
        <v>54</v>
      </c>
      <c r="E41" s="25" t="s">
        <v>31</v>
      </c>
      <c r="F41" s="25">
        <v>201808</v>
      </c>
      <c r="G41" s="13">
        <f>'3. Isi Produksi'!U41</f>
        <v>0</v>
      </c>
      <c r="H41" s="13">
        <f>'3. Isi Produksi'!V41</f>
        <v>0</v>
      </c>
      <c r="I41" s="13">
        <f>'3. Isi Produksi'!W41</f>
        <v>0</v>
      </c>
    </row>
    <row r="42" spans="1:9" x14ac:dyDescent="0.2">
      <c r="A42" s="25" t="s">
        <v>129</v>
      </c>
      <c r="B42" s="25" t="s">
        <v>133</v>
      </c>
      <c r="C42" s="25">
        <v>338</v>
      </c>
      <c r="D42" s="25" t="s">
        <v>54</v>
      </c>
      <c r="E42" s="25" t="s">
        <v>31</v>
      </c>
      <c r="F42" s="25">
        <v>201809</v>
      </c>
      <c r="G42" s="13">
        <f>'3. Isi Produksi'!U42</f>
        <v>0</v>
      </c>
      <c r="H42" s="13">
        <f>'3. Isi Produksi'!V42</f>
        <v>0</v>
      </c>
      <c r="I42" s="13">
        <f>'3. Isi Produksi'!W42</f>
        <v>0</v>
      </c>
    </row>
    <row r="43" spans="1:9" x14ac:dyDescent="0.2">
      <c r="A43" s="25" t="s">
        <v>129</v>
      </c>
      <c r="B43" s="25" t="s">
        <v>133</v>
      </c>
      <c r="C43" s="25">
        <v>338</v>
      </c>
      <c r="D43" s="25" t="s">
        <v>54</v>
      </c>
      <c r="E43" s="25" t="s">
        <v>31</v>
      </c>
      <c r="F43" s="25">
        <v>201810</v>
      </c>
      <c r="G43" s="13">
        <f>'3. Isi Produksi'!U43</f>
        <v>0</v>
      </c>
      <c r="H43" s="13">
        <f>'3. Isi Produksi'!V43</f>
        <v>0</v>
      </c>
      <c r="I43" s="13">
        <f>'3. Isi Produksi'!W43</f>
        <v>0</v>
      </c>
    </row>
    <row r="44" spans="1:9" x14ac:dyDescent="0.2">
      <c r="A44" s="25" t="s">
        <v>129</v>
      </c>
      <c r="B44" s="25" t="s">
        <v>133</v>
      </c>
      <c r="C44" s="25">
        <v>338</v>
      </c>
      <c r="D44" s="25" t="s">
        <v>54</v>
      </c>
      <c r="E44" s="25" t="s">
        <v>31</v>
      </c>
      <c r="F44" s="25">
        <v>201811</v>
      </c>
      <c r="G44" s="13">
        <f>'3. Isi Produksi'!U44</f>
        <v>0</v>
      </c>
      <c r="H44" s="13">
        <f>'3. Isi Produksi'!V44</f>
        <v>0</v>
      </c>
      <c r="I44" s="13">
        <f>'3. Isi Produksi'!W44</f>
        <v>0</v>
      </c>
    </row>
    <row r="45" spans="1:9" x14ac:dyDescent="0.2">
      <c r="A45" s="25" t="s">
        <v>129</v>
      </c>
      <c r="B45" s="25" t="s">
        <v>133</v>
      </c>
      <c r="C45" s="25">
        <v>338</v>
      </c>
      <c r="D45" s="25" t="s">
        <v>54</v>
      </c>
      <c r="E45" s="25" t="s">
        <v>31</v>
      </c>
      <c r="F45" s="25">
        <v>201812</v>
      </c>
      <c r="G45" s="13">
        <f>'3. Isi Produksi'!U45</f>
        <v>0</v>
      </c>
      <c r="H45" s="13">
        <f>'3. Isi Produksi'!V45</f>
        <v>0</v>
      </c>
      <c r="I45" s="13">
        <f>'3. Isi Produksi'!W45</f>
        <v>0</v>
      </c>
    </row>
    <row r="46" spans="1:9" x14ac:dyDescent="0.2">
      <c r="A46" s="25" t="s">
        <v>129</v>
      </c>
      <c r="B46" s="25" t="s">
        <v>133</v>
      </c>
      <c r="C46" s="25">
        <v>338</v>
      </c>
      <c r="D46" s="25" t="s">
        <v>55</v>
      </c>
      <c r="E46" s="25" t="s">
        <v>31</v>
      </c>
      <c r="F46" s="25">
        <v>201807</v>
      </c>
      <c r="G46" s="13">
        <f>'3. Isi Produksi'!U46</f>
        <v>0</v>
      </c>
      <c r="H46" s="13">
        <f>'3. Isi Produksi'!V46</f>
        <v>0</v>
      </c>
      <c r="I46" s="13">
        <f>'3. Isi Produksi'!W46</f>
        <v>0</v>
      </c>
    </row>
    <row r="47" spans="1:9" x14ac:dyDescent="0.2">
      <c r="A47" s="25" t="s">
        <v>129</v>
      </c>
      <c r="B47" s="25" t="s">
        <v>133</v>
      </c>
      <c r="C47" s="25">
        <v>338</v>
      </c>
      <c r="D47" s="25" t="s">
        <v>55</v>
      </c>
      <c r="E47" s="25" t="s">
        <v>31</v>
      </c>
      <c r="F47" s="25">
        <v>201808</v>
      </c>
      <c r="G47" s="13">
        <f>'3. Isi Produksi'!U47</f>
        <v>0</v>
      </c>
      <c r="H47" s="13">
        <f>'3. Isi Produksi'!V47</f>
        <v>0</v>
      </c>
      <c r="I47" s="13">
        <f>'3. Isi Produksi'!W47</f>
        <v>0</v>
      </c>
    </row>
    <row r="48" spans="1:9" x14ac:dyDescent="0.2">
      <c r="A48" s="25" t="s">
        <v>129</v>
      </c>
      <c r="B48" s="25" t="s">
        <v>133</v>
      </c>
      <c r="C48" s="25">
        <v>338</v>
      </c>
      <c r="D48" s="25" t="s">
        <v>55</v>
      </c>
      <c r="E48" s="25" t="s">
        <v>31</v>
      </c>
      <c r="F48" s="25">
        <v>201809</v>
      </c>
      <c r="G48" s="13">
        <f>'3. Isi Produksi'!U48</f>
        <v>0</v>
      </c>
      <c r="H48" s="13">
        <f>'3. Isi Produksi'!V48</f>
        <v>0</v>
      </c>
      <c r="I48" s="13">
        <f>'3. Isi Produksi'!W48</f>
        <v>0</v>
      </c>
    </row>
    <row r="49" spans="1:9" x14ac:dyDescent="0.2">
      <c r="A49" s="25" t="s">
        <v>129</v>
      </c>
      <c r="B49" s="25" t="s">
        <v>133</v>
      </c>
      <c r="C49" s="25">
        <v>338</v>
      </c>
      <c r="D49" s="25" t="s">
        <v>55</v>
      </c>
      <c r="E49" s="25" t="s">
        <v>31</v>
      </c>
      <c r="F49" s="25">
        <v>201810</v>
      </c>
      <c r="G49" s="13">
        <f>'3. Isi Produksi'!U49</f>
        <v>0</v>
      </c>
      <c r="H49" s="13">
        <f>'3. Isi Produksi'!V49</f>
        <v>0</v>
      </c>
      <c r="I49" s="13">
        <f>'3. Isi Produksi'!W49</f>
        <v>0</v>
      </c>
    </row>
    <row r="50" spans="1:9" x14ac:dyDescent="0.2">
      <c r="A50" s="25" t="s">
        <v>129</v>
      </c>
      <c r="B50" s="25" t="s">
        <v>133</v>
      </c>
      <c r="C50" s="25">
        <v>338</v>
      </c>
      <c r="D50" s="25" t="s">
        <v>55</v>
      </c>
      <c r="E50" s="25" t="s">
        <v>31</v>
      </c>
      <c r="F50" s="25">
        <v>201811</v>
      </c>
      <c r="G50" s="13">
        <f>'3. Isi Produksi'!U50</f>
        <v>0</v>
      </c>
      <c r="H50" s="13">
        <f>'3. Isi Produksi'!V50</f>
        <v>0</v>
      </c>
      <c r="I50" s="13">
        <f>'3. Isi Produksi'!W50</f>
        <v>0</v>
      </c>
    </row>
    <row r="51" spans="1:9" x14ac:dyDescent="0.2">
      <c r="A51" s="25" t="s">
        <v>129</v>
      </c>
      <c r="B51" s="25" t="s">
        <v>133</v>
      </c>
      <c r="C51" s="25">
        <v>338</v>
      </c>
      <c r="D51" s="25" t="s">
        <v>55</v>
      </c>
      <c r="E51" s="25" t="s">
        <v>31</v>
      </c>
      <c r="F51" s="25">
        <v>201812</v>
      </c>
      <c r="G51" s="13">
        <f>'3. Isi Produksi'!U51</f>
        <v>0</v>
      </c>
      <c r="H51" s="13">
        <f>'3. Isi Produksi'!V51</f>
        <v>0</v>
      </c>
      <c r="I51" s="13">
        <f>'3. Isi Produksi'!W51</f>
        <v>0</v>
      </c>
    </row>
    <row r="52" spans="1:9" x14ac:dyDescent="0.2">
      <c r="A52" s="25" t="s">
        <v>129</v>
      </c>
      <c r="B52" s="25" t="s">
        <v>134</v>
      </c>
      <c r="C52" s="25">
        <v>331</v>
      </c>
      <c r="D52" s="25" t="s">
        <v>54</v>
      </c>
      <c r="E52" s="25" t="s">
        <v>31</v>
      </c>
      <c r="F52" s="25">
        <v>201807</v>
      </c>
      <c r="G52" s="13">
        <f>'3. Isi Produksi'!U52</f>
        <v>0</v>
      </c>
      <c r="H52" s="13">
        <f>'3. Isi Produksi'!V52</f>
        <v>0</v>
      </c>
      <c r="I52" s="13">
        <f>'3. Isi Produksi'!W52</f>
        <v>0</v>
      </c>
    </row>
    <row r="53" spans="1:9" x14ac:dyDescent="0.2">
      <c r="A53" s="25" t="s">
        <v>129</v>
      </c>
      <c r="B53" s="25" t="s">
        <v>134</v>
      </c>
      <c r="C53" s="25">
        <v>331</v>
      </c>
      <c r="D53" s="25" t="s">
        <v>54</v>
      </c>
      <c r="E53" s="25" t="s">
        <v>31</v>
      </c>
      <c r="F53" s="25">
        <v>201808</v>
      </c>
      <c r="G53" s="13">
        <f>'3. Isi Produksi'!U53</f>
        <v>0</v>
      </c>
      <c r="H53" s="13">
        <f>'3. Isi Produksi'!V53</f>
        <v>0</v>
      </c>
      <c r="I53" s="13">
        <f>'3. Isi Produksi'!W53</f>
        <v>0</v>
      </c>
    </row>
    <row r="54" spans="1:9" x14ac:dyDescent="0.2">
      <c r="A54" s="25" t="s">
        <v>129</v>
      </c>
      <c r="B54" s="25" t="s">
        <v>134</v>
      </c>
      <c r="C54" s="25">
        <v>331</v>
      </c>
      <c r="D54" s="25" t="s">
        <v>54</v>
      </c>
      <c r="E54" s="25" t="s">
        <v>31</v>
      </c>
      <c r="F54" s="25">
        <v>201809</v>
      </c>
      <c r="G54" s="13">
        <f>'3. Isi Produksi'!U54</f>
        <v>0</v>
      </c>
      <c r="H54" s="13">
        <f>'3. Isi Produksi'!V54</f>
        <v>0</v>
      </c>
      <c r="I54" s="13">
        <f>'3. Isi Produksi'!W54</f>
        <v>0</v>
      </c>
    </row>
    <row r="55" spans="1:9" x14ac:dyDescent="0.2">
      <c r="A55" s="25" t="s">
        <v>129</v>
      </c>
      <c r="B55" s="25" t="s">
        <v>134</v>
      </c>
      <c r="C55" s="25">
        <v>331</v>
      </c>
      <c r="D55" s="25" t="s">
        <v>54</v>
      </c>
      <c r="E55" s="25" t="s">
        <v>31</v>
      </c>
      <c r="F55" s="25">
        <v>201810</v>
      </c>
      <c r="G55" s="13">
        <f>'3. Isi Produksi'!U55</f>
        <v>0</v>
      </c>
      <c r="H55" s="13">
        <f>'3. Isi Produksi'!V55</f>
        <v>0</v>
      </c>
      <c r="I55" s="13">
        <f>'3. Isi Produksi'!W55</f>
        <v>0</v>
      </c>
    </row>
    <row r="56" spans="1:9" x14ac:dyDescent="0.2">
      <c r="A56" s="25" t="s">
        <v>129</v>
      </c>
      <c r="B56" s="25" t="s">
        <v>134</v>
      </c>
      <c r="C56" s="25">
        <v>331</v>
      </c>
      <c r="D56" s="25" t="s">
        <v>54</v>
      </c>
      <c r="E56" s="25" t="s">
        <v>31</v>
      </c>
      <c r="F56" s="25">
        <v>201811</v>
      </c>
      <c r="G56" s="13">
        <f>'3. Isi Produksi'!U56</f>
        <v>0</v>
      </c>
      <c r="H56" s="13">
        <f>'3. Isi Produksi'!V56</f>
        <v>0</v>
      </c>
      <c r="I56" s="13">
        <f>'3. Isi Produksi'!W56</f>
        <v>0</v>
      </c>
    </row>
    <row r="57" spans="1:9" x14ac:dyDescent="0.2">
      <c r="A57" s="25" t="s">
        <v>129</v>
      </c>
      <c r="B57" s="25" t="s">
        <v>134</v>
      </c>
      <c r="C57" s="25">
        <v>331</v>
      </c>
      <c r="D57" s="25" t="s">
        <v>54</v>
      </c>
      <c r="E57" s="25" t="s">
        <v>31</v>
      </c>
      <c r="F57" s="25">
        <v>201812</v>
      </c>
      <c r="G57" s="13">
        <f>'3. Isi Produksi'!U57</f>
        <v>0</v>
      </c>
      <c r="H57" s="13">
        <f>'3. Isi Produksi'!V57</f>
        <v>0</v>
      </c>
      <c r="I57" s="13">
        <f>'3. Isi Produksi'!W57</f>
        <v>0</v>
      </c>
    </row>
    <row r="58" spans="1:9" x14ac:dyDescent="0.2">
      <c r="A58" s="25" t="s">
        <v>129</v>
      </c>
      <c r="B58" s="25" t="s">
        <v>134</v>
      </c>
      <c r="C58" s="25">
        <v>331</v>
      </c>
      <c r="D58" s="25" t="s">
        <v>55</v>
      </c>
      <c r="E58" s="25" t="s">
        <v>31</v>
      </c>
      <c r="F58" s="25">
        <v>201807</v>
      </c>
      <c r="G58" s="13">
        <f>'3. Isi Produksi'!U58</f>
        <v>0</v>
      </c>
      <c r="H58" s="13">
        <f>'3. Isi Produksi'!V58</f>
        <v>0</v>
      </c>
      <c r="I58" s="13">
        <f>'3. Isi Produksi'!W58</f>
        <v>0</v>
      </c>
    </row>
    <row r="59" spans="1:9" x14ac:dyDescent="0.2">
      <c r="A59" s="25" t="s">
        <v>129</v>
      </c>
      <c r="B59" s="25" t="s">
        <v>134</v>
      </c>
      <c r="C59" s="25">
        <v>331</v>
      </c>
      <c r="D59" s="25" t="s">
        <v>55</v>
      </c>
      <c r="E59" s="25" t="s">
        <v>31</v>
      </c>
      <c r="F59" s="25">
        <v>201808</v>
      </c>
      <c r="G59" s="13">
        <f>'3. Isi Produksi'!U59</f>
        <v>0</v>
      </c>
      <c r="H59" s="13">
        <f>'3. Isi Produksi'!V59</f>
        <v>0</v>
      </c>
      <c r="I59" s="13">
        <f>'3. Isi Produksi'!W59</f>
        <v>0</v>
      </c>
    </row>
    <row r="60" spans="1:9" x14ac:dyDescent="0.2">
      <c r="A60" s="25" t="s">
        <v>129</v>
      </c>
      <c r="B60" s="25" t="s">
        <v>134</v>
      </c>
      <c r="C60" s="25">
        <v>331</v>
      </c>
      <c r="D60" s="25" t="s">
        <v>55</v>
      </c>
      <c r="E60" s="25" t="s">
        <v>31</v>
      </c>
      <c r="F60" s="25">
        <v>201809</v>
      </c>
      <c r="G60" s="13">
        <f>'3. Isi Produksi'!U60</f>
        <v>0</v>
      </c>
      <c r="H60" s="13">
        <f>'3. Isi Produksi'!V60</f>
        <v>0</v>
      </c>
      <c r="I60" s="13">
        <f>'3. Isi Produksi'!W60</f>
        <v>0</v>
      </c>
    </row>
    <row r="61" spans="1:9" x14ac:dyDescent="0.2">
      <c r="A61" s="25" t="s">
        <v>129</v>
      </c>
      <c r="B61" s="25" t="s">
        <v>134</v>
      </c>
      <c r="C61" s="25">
        <v>331</v>
      </c>
      <c r="D61" s="25" t="s">
        <v>55</v>
      </c>
      <c r="E61" s="25" t="s">
        <v>31</v>
      </c>
      <c r="F61" s="25">
        <v>201810</v>
      </c>
      <c r="G61" s="13">
        <f>'3. Isi Produksi'!U61</f>
        <v>0</v>
      </c>
      <c r="H61" s="13">
        <f>'3. Isi Produksi'!V61</f>
        <v>0</v>
      </c>
      <c r="I61" s="13">
        <f>'3. Isi Produksi'!W61</f>
        <v>0</v>
      </c>
    </row>
    <row r="62" spans="1:9" x14ac:dyDescent="0.2">
      <c r="A62" s="25" t="s">
        <v>129</v>
      </c>
      <c r="B62" s="25" t="s">
        <v>134</v>
      </c>
      <c r="C62" s="25">
        <v>331</v>
      </c>
      <c r="D62" s="25" t="s">
        <v>55</v>
      </c>
      <c r="E62" s="25" t="s">
        <v>31</v>
      </c>
      <c r="F62" s="25">
        <v>201811</v>
      </c>
      <c r="G62" s="13">
        <f>'3. Isi Produksi'!U62</f>
        <v>0</v>
      </c>
      <c r="H62" s="13">
        <f>'3. Isi Produksi'!V62</f>
        <v>0</v>
      </c>
      <c r="I62" s="13">
        <f>'3. Isi Produksi'!W62</f>
        <v>0</v>
      </c>
    </row>
    <row r="63" spans="1:9" x14ac:dyDescent="0.2">
      <c r="A63" s="25" t="s">
        <v>129</v>
      </c>
      <c r="B63" s="25" t="s">
        <v>134</v>
      </c>
      <c r="C63" s="25">
        <v>331</v>
      </c>
      <c r="D63" s="25" t="s">
        <v>55</v>
      </c>
      <c r="E63" s="25" t="s">
        <v>31</v>
      </c>
      <c r="F63" s="25">
        <v>201812</v>
      </c>
      <c r="G63" s="13">
        <f>'3. Isi Produksi'!U63</f>
        <v>0</v>
      </c>
      <c r="H63" s="13">
        <f>'3. Isi Produksi'!V63</f>
        <v>0</v>
      </c>
      <c r="I63" s="13">
        <f>'3. Isi Produksi'!W63</f>
        <v>0</v>
      </c>
    </row>
    <row r="64" spans="1:9" x14ac:dyDescent="0.2">
      <c r="A64" s="25" t="s">
        <v>129</v>
      </c>
      <c r="B64" s="25" t="s">
        <v>135</v>
      </c>
      <c r="C64" s="25">
        <v>334</v>
      </c>
      <c r="D64" s="25" t="s">
        <v>54</v>
      </c>
      <c r="E64" s="25" t="s">
        <v>31</v>
      </c>
      <c r="F64" s="25">
        <v>201807</v>
      </c>
      <c r="G64" s="13">
        <f>'3. Isi Produksi'!U64</f>
        <v>0</v>
      </c>
      <c r="H64" s="13">
        <f>'3. Isi Produksi'!V64</f>
        <v>0</v>
      </c>
      <c r="I64" s="13">
        <f>'3. Isi Produksi'!W64</f>
        <v>0</v>
      </c>
    </row>
    <row r="65" spans="1:9" x14ac:dyDescent="0.2">
      <c r="A65" s="25" t="s">
        <v>129</v>
      </c>
      <c r="B65" s="25" t="s">
        <v>135</v>
      </c>
      <c r="C65" s="25">
        <v>334</v>
      </c>
      <c r="D65" s="25" t="s">
        <v>54</v>
      </c>
      <c r="E65" s="25" t="s">
        <v>31</v>
      </c>
      <c r="F65" s="25">
        <v>201808</v>
      </c>
      <c r="G65" s="13">
        <f>'3. Isi Produksi'!U65</f>
        <v>0</v>
      </c>
      <c r="H65" s="13">
        <f>'3. Isi Produksi'!V65</f>
        <v>0</v>
      </c>
      <c r="I65" s="13">
        <f>'3. Isi Produksi'!W65</f>
        <v>0</v>
      </c>
    </row>
    <row r="66" spans="1:9" x14ac:dyDescent="0.2">
      <c r="A66" s="25" t="s">
        <v>129</v>
      </c>
      <c r="B66" s="25" t="s">
        <v>135</v>
      </c>
      <c r="C66" s="25">
        <v>334</v>
      </c>
      <c r="D66" s="25" t="s">
        <v>54</v>
      </c>
      <c r="E66" s="25" t="s">
        <v>31</v>
      </c>
      <c r="F66" s="25">
        <v>201809</v>
      </c>
      <c r="G66" s="13">
        <f>'3. Isi Produksi'!U66</f>
        <v>0</v>
      </c>
      <c r="H66" s="13">
        <f>'3. Isi Produksi'!V66</f>
        <v>0</v>
      </c>
      <c r="I66" s="13">
        <f>'3. Isi Produksi'!W66</f>
        <v>0</v>
      </c>
    </row>
    <row r="67" spans="1:9" x14ac:dyDescent="0.2">
      <c r="A67" s="25" t="s">
        <v>129</v>
      </c>
      <c r="B67" s="25" t="s">
        <v>135</v>
      </c>
      <c r="C67" s="25">
        <v>334</v>
      </c>
      <c r="D67" s="25" t="s">
        <v>54</v>
      </c>
      <c r="E67" s="25" t="s">
        <v>31</v>
      </c>
      <c r="F67" s="25">
        <v>201810</v>
      </c>
      <c r="G67" s="13">
        <f>'3. Isi Produksi'!U67</f>
        <v>0</v>
      </c>
      <c r="H67" s="13">
        <f>'3. Isi Produksi'!V67</f>
        <v>0</v>
      </c>
      <c r="I67" s="13">
        <f>'3. Isi Produksi'!W67</f>
        <v>0</v>
      </c>
    </row>
    <row r="68" spans="1:9" x14ac:dyDescent="0.2">
      <c r="A68" s="25" t="s">
        <v>129</v>
      </c>
      <c r="B68" s="25" t="s">
        <v>135</v>
      </c>
      <c r="C68" s="25">
        <v>334</v>
      </c>
      <c r="D68" s="25" t="s">
        <v>54</v>
      </c>
      <c r="E68" s="25" t="s">
        <v>31</v>
      </c>
      <c r="F68" s="25">
        <v>201811</v>
      </c>
      <c r="G68" s="13">
        <f>'3. Isi Produksi'!U68</f>
        <v>0</v>
      </c>
      <c r="H68" s="13">
        <f>'3. Isi Produksi'!V68</f>
        <v>0</v>
      </c>
      <c r="I68" s="13">
        <f>'3. Isi Produksi'!W68</f>
        <v>0</v>
      </c>
    </row>
    <row r="69" spans="1:9" x14ac:dyDescent="0.2">
      <c r="A69" s="25" t="s">
        <v>129</v>
      </c>
      <c r="B69" s="25" t="s">
        <v>135</v>
      </c>
      <c r="C69" s="25">
        <v>334</v>
      </c>
      <c r="D69" s="25" t="s">
        <v>54</v>
      </c>
      <c r="E69" s="25" t="s">
        <v>31</v>
      </c>
      <c r="F69" s="25">
        <v>201812</v>
      </c>
      <c r="G69" s="13">
        <f>'3. Isi Produksi'!U69</f>
        <v>0</v>
      </c>
      <c r="H69" s="13">
        <f>'3. Isi Produksi'!V69</f>
        <v>0</v>
      </c>
      <c r="I69" s="13">
        <f>'3. Isi Produksi'!W69</f>
        <v>0</v>
      </c>
    </row>
    <row r="70" spans="1:9" x14ac:dyDescent="0.2">
      <c r="A70" s="25" t="s">
        <v>129</v>
      </c>
      <c r="B70" s="25" t="s">
        <v>135</v>
      </c>
      <c r="C70" s="25">
        <v>334</v>
      </c>
      <c r="D70" s="25" t="s">
        <v>55</v>
      </c>
      <c r="E70" s="25" t="s">
        <v>31</v>
      </c>
      <c r="F70" s="25">
        <v>201807</v>
      </c>
      <c r="G70" s="13">
        <f>'3. Isi Produksi'!U70</f>
        <v>0</v>
      </c>
      <c r="H70" s="13">
        <f>'3. Isi Produksi'!V70</f>
        <v>0</v>
      </c>
      <c r="I70" s="13">
        <f>'3. Isi Produksi'!W70</f>
        <v>0</v>
      </c>
    </row>
    <row r="71" spans="1:9" x14ac:dyDescent="0.2">
      <c r="A71" s="25" t="s">
        <v>129</v>
      </c>
      <c r="B71" s="25" t="s">
        <v>135</v>
      </c>
      <c r="C71" s="25">
        <v>334</v>
      </c>
      <c r="D71" s="25" t="s">
        <v>55</v>
      </c>
      <c r="E71" s="25" t="s">
        <v>31</v>
      </c>
      <c r="F71" s="25">
        <v>201808</v>
      </c>
      <c r="G71" s="13">
        <f>'3. Isi Produksi'!U71</f>
        <v>0</v>
      </c>
      <c r="H71" s="13">
        <f>'3. Isi Produksi'!V71</f>
        <v>0</v>
      </c>
      <c r="I71" s="13">
        <f>'3. Isi Produksi'!W71</f>
        <v>0</v>
      </c>
    </row>
    <row r="72" spans="1:9" x14ac:dyDescent="0.2">
      <c r="A72" s="25" t="s">
        <v>129</v>
      </c>
      <c r="B72" s="25" t="s">
        <v>135</v>
      </c>
      <c r="C72" s="25">
        <v>334</v>
      </c>
      <c r="D72" s="25" t="s">
        <v>55</v>
      </c>
      <c r="E72" s="25" t="s">
        <v>31</v>
      </c>
      <c r="F72" s="25">
        <v>201809</v>
      </c>
      <c r="G72" s="13">
        <f>'3. Isi Produksi'!U72</f>
        <v>0</v>
      </c>
      <c r="H72" s="13">
        <f>'3. Isi Produksi'!V72</f>
        <v>0</v>
      </c>
      <c r="I72" s="13">
        <f>'3. Isi Produksi'!W72</f>
        <v>0</v>
      </c>
    </row>
    <row r="73" spans="1:9" x14ac:dyDescent="0.2">
      <c r="A73" s="25" t="s">
        <v>129</v>
      </c>
      <c r="B73" s="25" t="s">
        <v>135</v>
      </c>
      <c r="C73" s="25">
        <v>334</v>
      </c>
      <c r="D73" s="25" t="s">
        <v>55</v>
      </c>
      <c r="E73" s="25" t="s">
        <v>31</v>
      </c>
      <c r="F73" s="25">
        <v>201810</v>
      </c>
      <c r="G73" s="13">
        <f>'3. Isi Produksi'!U73</f>
        <v>0</v>
      </c>
      <c r="H73" s="13">
        <f>'3. Isi Produksi'!V73</f>
        <v>0</v>
      </c>
      <c r="I73" s="13">
        <f>'3. Isi Produksi'!W73</f>
        <v>0</v>
      </c>
    </row>
    <row r="74" spans="1:9" x14ac:dyDescent="0.2">
      <c r="A74" s="25" t="s">
        <v>129</v>
      </c>
      <c r="B74" s="25" t="s">
        <v>135</v>
      </c>
      <c r="C74" s="25">
        <v>334</v>
      </c>
      <c r="D74" s="25" t="s">
        <v>55</v>
      </c>
      <c r="E74" s="25" t="s">
        <v>31</v>
      </c>
      <c r="F74" s="25">
        <v>201811</v>
      </c>
      <c r="G74" s="13">
        <f>'3. Isi Produksi'!U74</f>
        <v>0</v>
      </c>
      <c r="H74" s="13">
        <f>'3. Isi Produksi'!V74</f>
        <v>0</v>
      </c>
      <c r="I74" s="13">
        <f>'3. Isi Produksi'!W74</f>
        <v>0</v>
      </c>
    </row>
    <row r="75" spans="1:9" x14ac:dyDescent="0.2">
      <c r="A75" s="25" t="s">
        <v>129</v>
      </c>
      <c r="B75" s="25" t="s">
        <v>135</v>
      </c>
      <c r="C75" s="25">
        <v>334</v>
      </c>
      <c r="D75" s="25" t="s">
        <v>55</v>
      </c>
      <c r="E75" s="25" t="s">
        <v>31</v>
      </c>
      <c r="F75" s="25">
        <v>201812</v>
      </c>
      <c r="G75" s="13">
        <f>'3. Isi Produksi'!U75</f>
        <v>0</v>
      </c>
      <c r="H75" s="13">
        <f>'3. Isi Produksi'!V75</f>
        <v>0</v>
      </c>
      <c r="I75" s="13">
        <f>'3. Isi Produksi'!W75</f>
        <v>0</v>
      </c>
    </row>
    <row r="76" spans="1:9" x14ac:dyDescent="0.2">
      <c r="A76" s="25" t="s">
        <v>129</v>
      </c>
      <c r="B76" s="25" t="s">
        <v>136</v>
      </c>
      <c r="C76" s="25">
        <v>329</v>
      </c>
      <c r="D76" s="25" t="s">
        <v>54</v>
      </c>
      <c r="E76" s="25" t="s">
        <v>31</v>
      </c>
      <c r="F76" s="25">
        <v>201807</v>
      </c>
      <c r="G76" s="13">
        <f>'3. Isi Produksi'!U76</f>
        <v>0</v>
      </c>
      <c r="H76" s="13">
        <f>'3. Isi Produksi'!V76</f>
        <v>0</v>
      </c>
      <c r="I76" s="13">
        <f>'3. Isi Produksi'!W76</f>
        <v>0</v>
      </c>
    </row>
    <row r="77" spans="1:9" x14ac:dyDescent="0.2">
      <c r="A77" s="25" t="s">
        <v>129</v>
      </c>
      <c r="B77" s="25" t="s">
        <v>136</v>
      </c>
      <c r="C77" s="25">
        <v>329</v>
      </c>
      <c r="D77" s="25" t="s">
        <v>54</v>
      </c>
      <c r="E77" s="25" t="s">
        <v>31</v>
      </c>
      <c r="F77" s="25">
        <v>201808</v>
      </c>
      <c r="G77" s="13">
        <f>'3. Isi Produksi'!U77</f>
        <v>0</v>
      </c>
      <c r="H77" s="13">
        <f>'3. Isi Produksi'!V77</f>
        <v>0</v>
      </c>
      <c r="I77" s="13">
        <f>'3. Isi Produksi'!W77</f>
        <v>0</v>
      </c>
    </row>
    <row r="78" spans="1:9" x14ac:dyDescent="0.2">
      <c r="A78" s="25" t="s">
        <v>129</v>
      </c>
      <c r="B78" s="25" t="s">
        <v>136</v>
      </c>
      <c r="C78" s="25">
        <v>329</v>
      </c>
      <c r="D78" s="25" t="s">
        <v>54</v>
      </c>
      <c r="E78" s="25" t="s">
        <v>31</v>
      </c>
      <c r="F78" s="25">
        <v>201809</v>
      </c>
      <c r="G78" s="13">
        <f>'3. Isi Produksi'!U78</f>
        <v>0</v>
      </c>
      <c r="H78" s="13">
        <f>'3. Isi Produksi'!V78</f>
        <v>0</v>
      </c>
      <c r="I78" s="13">
        <f>'3. Isi Produksi'!W78</f>
        <v>0</v>
      </c>
    </row>
    <row r="79" spans="1:9" x14ac:dyDescent="0.2">
      <c r="A79" s="25" t="s">
        <v>129</v>
      </c>
      <c r="B79" s="25" t="s">
        <v>136</v>
      </c>
      <c r="C79" s="25">
        <v>329</v>
      </c>
      <c r="D79" s="25" t="s">
        <v>54</v>
      </c>
      <c r="E79" s="25" t="s">
        <v>31</v>
      </c>
      <c r="F79" s="25">
        <v>201810</v>
      </c>
      <c r="G79" s="13">
        <f>'3. Isi Produksi'!U79</f>
        <v>0</v>
      </c>
      <c r="H79" s="13">
        <f>'3. Isi Produksi'!V79</f>
        <v>0</v>
      </c>
      <c r="I79" s="13">
        <f>'3. Isi Produksi'!W79</f>
        <v>0</v>
      </c>
    </row>
    <row r="80" spans="1:9" x14ac:dyDescent="0.2">
      <c r="A80" s="25" t="s">
        <v>129</v>
      </c>
      <c r="B80" s="25" t="s">
        <v>136</v>
      </c>
      <c r="C80" s="25">
        <v>329</v>
      </c>
      <c r="D80" s="25" t="s">
        <v>54</v>
      </c>
      <c r="E80" s="25" t="s">
        <v>31</v>
      </c>
      <c r="F80" s="25">
        <v>201811</v>
      </c>
      <c r="G80" s="13">
        <f>'3. Isi Produksi'!U80</f>
        <v>0</v>
      </c>
      <c r="H80" s="13">
        <f>'3. Isi Produksi'!V80</f>
        <v>0</v>
      </c>
      <c r="I80" s="13">
        <f>'3. Isi Produksi'!W80</f>
        <v>0</v>
      </c>
    </row>
    <row r="81" spans="1:9" x14ac:dyDescent="0.2">
      <c r="A81" s="25" t="s">
        <v>129</v>
      </c>
      <c r="B81" s="25" t="s">
        <v>136</v>
      </c>
      <c r="C81" s="25">
        <v>329</v>
      </c>
      <c r="D81" s="25" t="s">
        <v>54</v>
      </c>
      <c r="E81" s="25" t="s">
        <v>31</v>
      </c>
      <c r="F81" s="25">
        <v>201812</v>
      </c>
      <c r="G81" s="13">
        <f>'3. Isi Produksi'!U81</f>
        <v>0</v>
      </c>
      <c r="H81" s="13">
        <f>'3. Isi Produksi'!V81</f>
        <v>0</v>
      </c>
      <c r="I81" s="13">
        <f>'3. Isi Produksi'!W81</f>
        <v>0</v>
      </c>
    </row>
    <row r="82" spans="1:9" x14ac:dyDescent="0.2">
      <c r="A82" s="25" t="s">
        <v>129</v>
      </c>
      <c r="B82" s="25" t="s">
        <v>136</v>
      </c>
      <c r="C82" s="25">
        <v>329</v>
      </c>
      <c r="D82" s="25" t="s">
        <v>55</v>
      </c>
      <c r="E82" s="25" t="s">
        <v>31</v>
      </c>
      <c r="F82" s="25">
        <v>201807</v>
      </c>
      <c r="G82" s="13">
        <f>'3. Isi Produksi'!U82</f>
        <v>0</v>
      </c>
      <c r="H82" s="13">
        <f>'3. Isi Produksi'!V82</f>
        <v>0</v>
      </c>
      <c r="I82" s="13">
        <f>'3. Isi Produksi'!W82</f>
        <v>0</v>
      </c>
    </row>
    <row r="83" spans="1:9" x14ac:dyDescent="0.2">
      <c r="A83" s="25" t="s">
        <v>129</v>
      </c>
      <c r="B83" s="25" t="s">
        <v>136</v>
      </c>
      <c r="C83" s="25">
        <v>329</v>
      </c>
      <c r="D83" s="25" t="s">
        <v>55</v>
      </c>
      <c r="E83" s="25" t="s">
        <v>31</v>
      </c>
      <c r="F83" s="25">
        <v>201808</v>
      </c>
      <c r="G83" s="13">
        <f>'3. Isi Produksi'!U83</f>
        <v>0</v>
      </c>
      <c r="H83" s="13">
        <f>'3. Isi Produksi'!V83</f>
        <v>0</v>
      </c>
      <c r="I83" s="13">
        <f>'3. Isi Produksi'!W83</f>
        <v>0</v>
      </c>
    </row>
    <row r="84" spans="1:9" x14ac:dyDescent="0.2">
      <c r="A84" s="25" t="s">
        <v>129</v>
      </c>
      <c r="B84" s="25" t="s">
        <v>136</v>
      </c>
      <c r="C84" s="25">
        <v>329</v>
      </c>
      <c r="D84" s="25" t="s">
        <v>55</v>
      </c>
      <c r="E84" s="25" t="s">
        <v>31</v>
      </c>
      <c r="F84" s="25">
        <v>201809</v>
      </c>
      <c r="G84" s="13">
        <f>'3. Isi Produksi'!U84</f>
        <v>0</v>
      </c>
      <c r="H84" s="13">
        <f>'3. Isi Produksi'!V84</f>
        <v>0</v>
      </c>
      <c r="I84" s="13">
        <f>'3. Isi Produksi'!W84</f>
        <v>0</v>
      </c>
    </row>
    <row r="85" spans="1:9" x14ac:dyDescent="0.2">
      <c r="A85" s="25" t="s">
        <v>129</v>
      </c>
      <c r="B85" s="25" t="s">
        <v>136</v>
      </c>
      <c r="C85" s="25">
        <v>329</v>
      </c>
      <c r="D85" s="25" t="s">
        <v>55</v>
      </c>
      <c r="E85" s="25" t="s">
        <v>31</v>
      </c>
      <c r="F85" s="25">
        <v>201810</v>
      </c>
      <c r="G85" s="13">
        <f>'3. Isi Produksi'!U85</f>
        <v>0</v>
      </c>
      <c r="H85" s="13">
        <f>'3. Isi Produksi'!V85</f>
        <v>0</v>
      </c>
      <c r="I85" s="13">
        <f>'3. Isi Produksi'!W85</f>
        <v>0</v>
      </c>
    </row>
    <row r="86" spans="1:9" x14ac:dyDescent="0.2">
      <c r="A86" s="25" t="s">
        <v>129</v>
      </c>
      <c r="B86" s="25" t="s">
        <v>136</v>
      </c>
      <c r="C86" s="25">
        <v>329</v>
      </c>
      <c r="D86" s="25" t="s">
        <v>55</v>
      </c>
      <c r="E86" s="25" t="s">
        <v>31</v>
      </c>
      <c r="F86" s="25">
        <v>201811</v>
      </c>
      <c r="G86" s="13">
        <f>'3. Isi Produksi'!U86</f>
        <v>0</v>
      </c>
      <c r="H86" s="13">
        <f>'3. Isi Produksi'!V86</f>
        <v>0</v>
      </c>
      <c r="I86" s="13">
        <f>'3. Isi Produksi'!W86</f>
        <v>0</v>
      </c>
    </row>
    <row r="87" spans="1:9" x14ac:dyDescent="0.2">
      <c r="A87" s="25" t="s">
        <v>129</v>
      </c>
      <c r="B87" s="25" t="s">
        <v>136</v>
      </c>
      <c r="C87" s="25">
        <v>329</v>
      </c>
      <c r="D87" s="25" t="s">
        <v>55</v>
      </c>
      <c r="E87" s="25" t="s">
        <v>31</v>
      </c>
      <c r="F87" s="25">
        <v>201812</v>
      </c>
      <c r="G87" s="13">
        <f>'3. Isi Produksi'!U87</f>
        <v>0</v>
      </c>
      <c r="H87" s="13">
        <f>'3. Isi Produksi'!V87</f>
        <v>0</v>
      </c>
      <c r="I87" s="13">
        <f>'3. Isi Produksi'!W87</f>
        <v>0</v>
      </c>
    </row>
    <row r="88" spans="1:9" x14ac:dyDescent="0.2">
      <c r="A88" s="25" t="s">
        <v>129</v>
      </c>
      <c r="B88" s="25" t="s">
        <v>137</v>
      </c>
      <c r="C88" s="25">
        <v>330</v>
      </c>
      <c r="D88" s="25" t="s">
        <v>54</v>
      </c>
      <c r="E88" s="25" t="s">
        <v>31</v>
      </c>
      <c r="F88" s="25">
        <v>201807</v>
      </c>
      <c r="G88" s="13">
        <f>'3. Isi Produksi'!U88</f>
        <v>0</v>
      </c>
      <c r="H88" s="13">
        <f>'3. Isi Produksi'!V88</f>
        <v>0</v>
      </c>
      <c r="I88" s="13">
        <f>'3. Isi Produksi'!W88</f>
        <v>0</v>
      </c>
    </row>
    <row r="89" spans="1:9" x14ac:dyDescent="0.2">
      <c r="A89" s="25" t="s">
        <v>129</v>
      </c>
      <c r="B89" s="25" t="s">
        <v>137</v>
      </c>
      <c r="C89" s="25">
        <v>330</v>
      </c>
      <c r="D89" s="25" t="s">
        <v>54</v>
      </c>
      <c r="E89" s="25" t="s">
        <v>31</v>
      </c>
      <c r="F89" s="25">
        <v>201808</v>
      </c>
      <c r="G89" s="13">
        <f>'3. Isi Produksi'!U89</f>
        <v>0</v>
      </c>
      <c r="H89" s="13">
        <f>'3. Isi Produksi'!V89</f>
        <v>0</v>
      </c>
      <c r="I89" s="13">
        <f>'3. Isi Produksi'!W89</f>
        <v>0</v>
      </c>
    </row>
    <row r="90" spans="1:9" x14ac:dyDescent="0.2">
      <c r="A90" s="25" t="s">
        <v>129</v>
      </c>
      <c r="B90" s="25" t="s">
        <v>137</v>
      </c>
      <c r="C90" s="25">
        <v>330</v>
      </c>
      <c r="D90" s="25" t="s">
        <v>54</v>
      </c>
      <c r="E90" s="25" t="s">
        <v>31</v>
      </c>
      <c r="F90" s="25">
        <v>201809</v>
      </c>
      <c r="G90" s="13">
        <f>'3. Isi Produksi'!U90</f>
        <v>0</v>
      </c>
      <c r="H90" s="13">
        <f>'3. Isi Produksi'!V90</f>
        <v>0</v>
      </c>
      <c r="I90" s="13">
        <f>'3. Isi Produksi'!W90</f>
        <v>0</v>
      </c>
    </row>
    <row r="91" spans="1:9" x14ac:dyDescent="0.2">
      <c r="A91" s="25" t="s">
        <v>129</v>
      </c>
      <c r="B91" s="25" t="s">
        <v>137</v>
      </c>
      <c r="C91" s="25">
        <v>330</v>
      </c>
      <c r="D91" s="25" t="s">
        <v>54</v>
      </c>
      <c r="E91" s="25" t="s">
        <v>31</v>
      </c>
      <c r="F91" s="25">
        <v>201810</v>
      </c>
      <c r="G91" s="13">
        <f>'3. Isi Produksi'!U91</f>
        <v>0</v>
      </c>
      <c r="H91" s="13">
        <f>'3. Isi Produksi'!V91</f>
        <v>0</v>
      </c>
      <c r="I91" s="13">
        <f>'3. Isi Produksi'!W91</f>
        <v>0</v>
      </c>
    </row>
    <row r="92" spans="1:9" x14ac:dyDescent="0.2">
      <c r="A92" s="25" t="s">
        <v>129</v>
      </c>
      <c r="B92" s="25" t="s">
        <v>137</v>
      </c>
      <c r="C92" s="25">
        <v>330</v>
      </c>
      <c r="D92" s="25" t="s">
        <v>54</v>
      </c>
      <c r="E92" s="25" t="s">
        <v>31</v>
      </c>
      <c r="F92" s="25">
        <v>201811</v>
      </c>
      <c r="G92" s="13">
        <f>'3. Isi Produksi'!U92</f>
        <v>0</v>
      </c>
      <c r="H92" s="13">
        <f>'3. Isi Produksi'!V92</f>
        <v>0</v>
      </c>
      <c r="I92" s="13">
        <f>'3. Isi Produksi'!W92</f>
        <v>0</v>
      </c>
    </row>
    <row r="93" spans="1:9" x14ac:dyDescent="0.2">
      <c r="A93" s="25" t="s">
        <v>129</v>
      </c>
      <c r="B93" s="25" t="s">
        <v>137</v>
      </c>
      <c r="C93" s="25">
        <v>330</v>
      </c>
      <c r="D93" s="25" t="s">
        <v>54</v>
      </c>
      <c r="E93" s="25" t="s">
        <v>31</v>
      </c>
      <c r="F93" s="25">
        <v>201812</v>
      </c>
      <c r="G93" s="13">
        <f>'3. Isi Produksi'!U93</f>
        <v>0</v>
      </c>
      <c r="H93" s="13">
        <f>'3. Isi Produksi'!V93</f>
        <v>0</v>
      </c>
      <c r="I93" s="13">
        <f>'3. Isi Produksi'!W93</f>
        <v>0</v>
      </c>
    </row>
    <row r="94" spans="1:9" x14ac:dyDescent="0.2">
      <c r="A94" s="25" t="s">
        <v>129</v>
      </c>
      <c r="B94" s="25" t="s">
        <v>137</v>
      </c>
      <c r="C94" s="25">
        <v>330</v>
      </c>
      <c r="D94" s="25" t="s">
        <v>55</v>
      </c>
      <c r="E94" s="25" t="s">
        <v>31</v>
      </c>
      <c r="F94" s="25">
        <v>201807</v>
      </c>
      <c r="G94" s="13">
        <f>'3. Isi Produksi'!U94</f>
        <v>0</v>
      </c>
      <c r="H94" s="13">
        <f>'3. Isi Produksi'!V94</f>
        <v>0</v>
      </c>
      <c r="I94" s="13">
        <f>'3. Isi Produksi'!W94</f>
        <v>0</v>
      </c>
    </row>
    <row r="95" spans="1:9" x14ac:dyDescent="0.2">
      <c r="A95" s="25" t="s">
        <v>129</v>
      </c>
      <c r="B95" s="25" t="s">
        <v>137</v>
      </c>
      <c r="C95" s="25">
        <v>330</v>
      </c>
      <c r="D95" s="25" t="s">
        <v>55</v>
      </c>
      <c r="E95" s="25" t="s">
        <v>31</v>
      </c>
      <c r="F95" s="25">
        <v>201808</v>
      </c>
      <c r="G95" s="13">
        <f>'3. Isi Produksi'!U95</f>
        <v>0</v>
      </c>
      <c r="H95" s="13">
        <f>'3. Isi Produksi'!V95</f>
        <v>0</v>
      </c>
      <c r="I95" s="13">
        <f>'3. Isi Produksi'!W95</f>
        <v>0</v>
      </c>
    </row>
    <row r="96" spans="1:9" x14ac:dyDescent="0.2">
      <c r="A96" s="25" t="s">
        <v>129</v>
      </c>
      <c r="B96" s="25" t="s">
        <v>137</v>
      </c>
      <c r="C96" s="25">
        <v>330</v>
      </c>
      <c r="D96" s="25" t="s">
        <v>55</v>
      </c>
      <c r="E96" s="25" t="s">
        <v>31</v>
      </c>
      <c r="F96" s="25">
        <v>201809</v>
      </c>
      <c r="G96" s="13">
        <f>'3. Isi Produksi'!U96</f>
        <v>0</v>
      </c>
      <c r="H96" s="13">
        <f>'3. Isi Produksi'!V96</f>
        <v>0</v>
      </c>
      <c r="I96" s="13">
        <f>'3. Isi Produksi'!W96</f>
        <v>0</v>
      </c>
    </row>
    <row r="97" spans="1:9" x14ac:dyDescent="0.2">
      <c r="A97" s="25" t="s">
        <v>129</v>
      </c>
      <c r="B97" s="25" t="s">
        <v>137</v>
      </c>
      <c r="C97" s="25">
        <v>330</v>
      </c>
      <c r="D97" s="25" t="s">
        <v>55</v>
      </c>
      <c r="E97" s="25" t="s">
        <v>31</v>
      </c>
      <c r="F97" s="25">
        <v>201810</v>
      </c>
      <c r="G97" s="13">
        <f>'3. Isi Produksi'!U97</f>
        <v>0</v>
      </c>
      <c r="H97" s="13">
        <f>'3. Isi Produksi'!V97</f>
        <v>0</v>
      </c>
      <c r="I97" s="13">
        <f>'3. Isi Produksi'!W97</f>
        <v>0</v>
      </c>
    </row>
    <row r="98" spans="1:9" x14ac:dyDescent="0.2">
      <c r="A98" s="25" t="s">
        <v>129</v>
      </c>
      <c r="B98" s="25" t="s">
        <v>137</v>
      </c>
      <c r="C98" s="25">
        <v>330</v>
      </c>
      <c r="D98" s="25" t="s">
        <v>55</v>
      </c>
      <c r="E98" s="25" t="s">
        <v>31</v>
      </c>
      <c r="F98" s="25">
        <v>201811</v>
      </c>
      <c r="G98" s="13">
        <f>'3. Isi Produksi'!U98</f>
        <v>0</v>
      </c>
      <c r="H98" s="13">
        <f>'3. Isi Produksi'!V98</f>
        <v>0</v>
      </c>
      <c r="I98" s="13">
        <f>'3. Isi Produksi'!W98</f>
        <v>0</v>
      </c>
    </row>
    <row r="99" spans="1:9" x14ac:dyDescent="0.2">
      <c r="A99" s="25" t="s">
        <v>129</v>
      </c>
      <c r="B99" s="25" t="s">
        <v>137</v>
      </c>
      <c r="C99" s="25">
        <v>330</v>
      </c>
      <c r="D99" s="25" t="s">
        <v>55</v>
      </c>
      <c r="E99" s="25" t="s">
        <v>31</v>
      </c>
      <c r="F99" s="25">
        <v>201812</v>
      </c>
      <c r="G99" s="13">
        <f>'3. Isi Produksi'!U99</f>
        <v>0</v>
      </c>
      <c r="H99" s="13">
        <f>'3. Isi Produksi'!V99</f>
        <v>0</v>
      </c>
      <c r="I99" s="13">
        <f>'3. Isi Produksi'!W99</f>
        <v>0</v>
      </c>
    </row>
    <row r="100" spans="1:9" x14ac:dyDescent="0.2">
      <c r="A100" s="25" t="s">
        <v>129</v>
      </c>
      <c r="B100" s="25" t="s">
        <v>138</v>
      </c>
      <c r="C100" s="25">
        <v>337</v>
      </c>
      <c r="D100" s="25" t="s">
        <v>54</v>
      </c>
      <c r="E100" s="25" t="s">
        <v>31</v>
      </c>
      <c r="F100" s="25">
        <v>201807</v>
      </c>
      <c r="G100" s="13">
        <f>'3. Isi Produksi'!U100</f>
        <v>0</v>
      </c>
      <c r="H100" s="13">
        <f>'3. Isi Produksi'!V100</f>
        <v>0</v>
      </c>
      <c r="I100" s="13">
        <f>'3. Isi Produksi'!W100</f>
        <v>0</v>
      </c>
    </row>
    <row r="101" spans="1:9" x14ac:dyDescent="0.2">
      <c r="A101" s="25" t="s">
        <v>129</v>
      </c>
      <c r="B101" s="25" t="s">
        <v>138</v>
      </c>
      <c r="C101" s="25">
        <v>337</v>
      </c>
      <c r="D101" s="25" t="s">
        <v>54</v>
      </c>
      <c r="E101" s="25" t="s">
        <v>31</v>
      </c>
      <c r="F101" s="25">
        <v>201808</v>
      </c>
      <c r="G101" s="13">
        <f>'3. Isi Produksi'!U101</f>
        <v>0</v>
      </c>
      <c r="H101" s="13">
        <f>'3. Isi Produksi'!V101</f>
        <v>0</v>
      </c>
      <c r="I101" s="13">
        <f>'3. Isi Produksi'!W101</f>
        <v>0</v>
      </c>
    </row>
    <row r="102" spans="1:9" x14ac:dyDescent="0.2">
      <c r="A102" s="25" t="s">
        <v>129</v>
      </c>
      <c r="B102" s="25" t="s">
        <v>138</v>
      </c>
      <c r="C102" s="25">
        <v>337</v>
      </c>
      <c r="D102" s="25" t="s">
        <v>54</v>
      </c>
      <c r="E102" s="25" t="s">
        <v>31</v>
      </c>
      <c r="F102" s="25">
        <v>201809</v>
      </c>
      <c r="G102" s="13">
        <f>'3. Isi Produksi'!U102</f>
        <v>0</v>
      </c>
      <c r="H102" s="13">
        <f>'3. Isi Produksi'!V102</f>
        <v>0</v>
      </c>
      <c r="I102" s="13">
        <f>'3. Isi Produksi'!W102</f>
        <v>0</v>
      </c>
    </row>
    <row r="103" spans="1:9" x14ac:dyDescent="0.2">
      <c r="A103" s="25" t="s">
        <v>129</v>
      </c>
      <c r="B103" s="25" t="s">
        <v>138</v>
      </c>
      <c r="C103" s="25">
        <v>337</v>
      </c>
      <c r="D103" s="25" t="s">
        <v>54</v>
      </c>
      <c r="E103" s="25" t="s">
        <v>31</v>
      </c>
      <c r="F103" s="25">
        <v>201810</v>
      </c>
      <c r="G103" s="13">
        <f>'3. Isi Produksi'!U103</f>
        <v>0</v>
      </c>
      <c r="H103" s="13">
        <f>'3. Isi Produksi'!V103</f>
        <v>0</v>
      </c>
      <c r="I103" s="13">
        <f>'3. Isi Produksi'!W103</f>
        <v>0</v>
      </c>
    </row>
    <row r="104" spans="1:9" x14ac:dyDescent="0.2">
      <c r="A104" s="25" t="s">
        <v>129</v>
      </c>
      <c r="B104" s="25" t="s">
        <v>138</v>
      </c>
      <c r="C104" s="25">
        <v>337</v>
      </c>
      <c r="D104" s="25" t="s">
        <v>54</v>
      </c>
      <c r="E104" s="25" t="s">
        <v>31</v>
      </c>
      <c r="F104" s="25">
        <v>201811</v>
      </c>
      <c r="G104" s="13">
        <f>'3. Isi Produksi'!U104</f>
        <v>0</v>
      </c>
      <c r="H104" s="13">
        <f>'3. Isi Produksi'!V104</f>
        <v>0</v>
      </c>
      <c r="I104" s="13">
        <f>'3. Isi Produksi'!W104</f>
        <v>0</v>
      </c>
    </row>
    <row r="105" spans="1:9" x14ac:dyDescent="0.2">
      <c r="A105" s="25" t="s">
        <v>129</v>
      </c>
      <c r="B105" s="25" t="s">
        <v>138</v>
      </c>
      <c r="C105" s="25">
        <v>337</v>
      </c>
      <c r="D105" s="25" t="s">
        <v>54</v>
      </c>
      <c r="E105" s="25" t="s">
        <v>31</v>
      </c>
      <c r="F105" s="25">
        <v>201812</v>
      </c>
      <c r="G105" s="13">
        <f>'3. Isi Produksi'!U105</f>
        <v>0</v>
      </c>
      <c r="H105" s="13">
        <f>'3. Isi Produksi'!V105</f>
        <v>0</v>
      </c>
      <c r="I105" s="13">
        <f>'3. Isi Produksi'!W105</f>
        <v>0</v>
      </c>
    </row>
    <row r="106" spans="1:9" x14ac:dyDescent="0.2">
      <c r="A106" s="25" t="s">
        <v>129</v>
      </c>
      <c r="B106" s="25" t="s">
        <v>138</v>
      </c>
      <c r="C106" s="25">
        <v>337</v>
      </c>
      <c r="D106" s="25" t="s">
        <v>55</v>
      </c>
      <c r="E106" s="25" t="s">
        <v>31</v>
      </c>
      <c r="F106" s="25">
        <v>201807</v>
      </c>
      <c r="G106" s="13">
        <f>'3. Isi Produksi'!U106</f>
        <v>0</v>
      </c>
      <c r="H106" s="13">
        <f>'3. Isi Produksi'!V106</f>
        <v>0</v>
      </c>
      <c r="I106" s="13">
        <f>'3. Isi Produksi'!W106</f>
        <v>0</v>
      </c>
    </row>
    <row r="107" spans="1:9" x14ac:dyDescent="0.2">
      <c r="A107" s="25" t="s">
        <v>129</v>
      </c>
      <c r="B107" s="25" t="s">
        <v>138</v>
      </c>
      <c r="C107" s="25">
        <v>337</v>
      </c>
      <c r="D107" s="25" t="s">
        <v>55</v>
      </c>
      <c r="E107" s="25" t="s">
        <v>31</v>
      </c>
      <c r="F107" s="25">
        <v>201808</v>
      </c>
      <c r="G107" s="13">
        <f>'3. Isi Produksi'!U107</f>
        <v>0</v>
      </c>
      <c r="H107" s="13">
        <f>'3. Isi Produksi'!V107</f>
        <v>0</v>
      </c>
      <c r="I107" s="13">
        <f>'3. Isi Produksi'!W107</f>
        <v>0</v>
      </c>
    </row>
    <row r="108" spans="1:9" x14ac:dyDescent="0.2">
      <c r="A108" s="25" t="s">
        <v>129</v>
      </c>
      <c r="B108" s="25" t="s">
        <v>138</v>
      </c>
      <c r="C108" s="25">
        <v>337</v>
      </c>
      <c r="D108" s="25" t="s">
        <v>55</v>
      </c>
      <c r="E108" s="25" t="s">
        <v>31</v>
      </c>
      <c r="F108" s="25">
        <v>201809</v>
      </c>
      <c r="G108" s="13">
        <f>'3. Isi Produksi'!U108</f>
        <v>0</v>
      </c>
      <c r="H108" s="13">
        <f>'3. Isi Produksi'!V108</f>
        <v>0</v>
      </c>
      <c r="I108" s="13">
        <f>'3. Isi Produksi'!W108</f>
        <v>0</v>
      </c>
    </row>
    <row r="109" spans="1:9" x14ac:dyDescent="0.2">
      <c r="A109" s="25" t="s">
        <v>129</v>
      </c>
      <c r="B109" s="25" t="s">
        <v>138</v>
      </c>
      <c r="C109" s="25">
        <v>337</v>
      </c>
      <c r="D109" s="25" t="s">
        <v>55</v>
      </c>
      <c r="E109" s="25" t="s">
        <v>31</v>
      </c>
      <c r="F109" s="25">
        <v>201810</v>
      </c>
      <c r="G109" s="13">
        <f>'3. Isi Produksi'!U109</f>
        <v>0</v>
      </c>
      <c r="H109" s="13">
        <f>'3. Isi Produksi'!V109</f>
        <v>0</v>
      </c>
      <c r="I109" s="13">
        <f>'3. Isi Produksi'!W109</f>
        <v>0</v>
      </c>
    </row>
    <row r="110" spans="1:9" x14ac:dyDescent="0.2">
      <c r="A110" s="25" t="s">
        <v>129</v>
      </c>
      <c r="B110" s="25" t="s">
        <v>138</v>
      </c>
      <c r="C110" s="25">
        <v>337</v>
      </c>
      <c r="D110" s="25" t="s">
        <v>55</v>
      </c>
      <c r="E110" s="25" t="s">
        <v>31</v>
      </c>
      <c r="F110" s="25">
        <v>201811</v>
      </c>
      <c r="G110" s="13">
        <f>'3. Isi Produksi'!U110</f>
        <v>0</v>
      </c>
      <c r="H110" s="13">
        <f>'3. Isi Produksi'!V110</f>
        <v>0</v>
      </c>
      <c r="I110" s="13">
        <f>'3. Isi Produksi'!W110</f>
        <v>0</v>
      </c>
    </row>
    <row r="111" spans="1:9" x14ac:dyDescent="0.2">
      <c r="A111" s="25" t="s">
        <v>129</v>
      </c>
      <c r="B111" s="25" t="s">
        <v>138</v>
      </c>
      <c r="C111" s="25">
        <v>337</v>
      </c>
      <c r="D111" s="25" t="s">
        <v>55</v>
      </c>
      <c r="E111" s="25" t="s">
        <v>31</v>
      </c>
      <c r="F111" s="25">
        <v>201812</v>
      </c>
      <c r="G111" s="13">
        <f>'3. Isi Produksi'!U111</f>
        <v>0</v>
      </c>
      <c r="H111" s="13">
        <f>'3. Isi Produksi'!V111</f>
        <v>0</v>
      </c>
      <c r="I111" s="13">
        <f>'3. Isi Produksi'!W111</f>
        <v>0</v>
      </c>
    </row>
    <row r="112" spans="1:9" x14ac:dyDescent="0.2">
      <c r="A112" s="25" t="s">
        <v>129</v>
      </c>
      <c r="B112" s="25" t="s">
        <v>139</v>
      </c>
      <c r="C112" s="25">
        <v>340</v>
      </c>
      <c r="D112" s="25" t="s">
        <v>54</v>
      </c>
      <c r="E112" s="25" t="s">
        <v>31</v>
      </c>
      <c r="F112" s="25">
        <v>201807</v>
      </c>
      <c r="G112" s="13">
        <f>'3. Isi Produksi'!U112</f>
        <v>0</v>
      </c>
      <c r="H112" s="13">
        <f>'3. Isi Produksi'!V112</f>
        <v>0</v>
      </c>
      <c r="I112" s="13">
        <f>'3. Isi Produksi'!W112</f>
        <v>0</v>
      </c>
    </row>
    <row r="113" spans="1:9" x14ac:dyDescent="0.2">
      <c r="A113" s="25" t="s">
        <v>129</v>
      </c>
      <c r="B113" s="25" t="s">
        <v>139</v>
      </c>
      <c r="C113" s="25">
        <v>340</v>
      </c>
      <c r="D113" s="25" t="s">
        <v>54</v>
      </c>
      <c r="E113" s="25" t="s">
        <v>31</v>
      </c>
      <c r="F113" s="25">
        <v>201808</v>
      </c>
      <c r="G113" s="13">
        <f>'3. Isi Produksi'!U113</f>
        <v>0</v>
      </c>
      <c r="H113" s="13">
        <f>'3. Isi Produksi'!V113</f>
        <v>0</v>
      </c>
      <c r="I113" s="13">
        <f>'3. Isi Produksi'!W113</f>
        <v>0</v>
      </c>
    </row>
    <row r="114" spans="1:9" x14ac:dyDescent="0.2">
      <c r="A114" s="25" t="s">
        <v>129</v>
      </c>
      <c r="B114" s="25" t="s">
        <v>139</v>
      </c>
      <c r="C114" s="25">
        <v>340</v>
      </c>
      <c r="D114" s="25" t="s">
        <v>54</v>
      </c>
      <c r="E114" s="25" t="s">
        <v>31</v>
      </c>
      <c r="F114" s="25">
        <v>201809</v>
      </c>
      <c r="G114" s="13">
        <f>'3. Isi Produksi'!U114</f>
        <v>0</v>
      </c>
      <c r="H114" s="13">
        <f>'3. Isi Produksi'!V114</f>
        <v>0</v>
      </c>
      <c r="I114" s="13">
        <f>'3. Isi Produksi'!W114</f>
        <v>0</v>
      </c>
    </row>
    <row r="115" spans="1:9" x14ac:dyDescent="0.2">
      <c r="A115" s="25" t="s">
        <v>129</v>
      </c>
      <c r="B115" s="25" t="s">
        <v>139</v>
      </c>
      <c r="C115" s="25">
        <v>340</v>
      </c>
      <c r="D115" s="25" t="s">
        <v>54</v>
      </c>
      <c r="E115" s="25" t="s">
        <v>31</v>
      </c>
      <c r="F115" s="25">
        <v>201810</v>
      </c>
      <c r="G115" s="13">
        <f>'3. Isi Produksi'!U115</f>
        <v>0</v>
      </c>
      <c r="H115" s="13">
        <f>'3. Isi Produksi'!V115</f>
        <v>0</v>
      </c>
      <c r="I115" s="13">
        <f>'3. Isi Produksi'!W115</f>
        <v>0</v>
      </c>
    </row>
    <row r="116" spans="1:9" x14ac:dyDescent="0.2">
      <c r="A116" s="25" t="s">
        <v>129</v>
      </c>
      <c r="B116" s="25" t="s">
        <v>139</v>
      </c>
      <c r="C116" s="25">
        <v>340</v>
      </c>
      <c r="D116" s="25" t="s">
        <v>54</v>
      </c>
      <c r="E116" s="25" t="s">
        <v>31</v>
      </c>
      <c r="F116" s="25">
        <v>201811</v>
      </c>
      <c r="G116" s="13">
        <f>'3. Isi Produksi'!U116</f>
        <v>0</v>
      </c>
      <c r="H116" s="13">
        <f>'3. Isi Produksi'!V116</f>
        <v>0</v>
      </c>
      <c r="I116" s="13">
        <f>'3. Isi Produksi'!W116</f>
        <v>0</v>
      </c>
    </row>
    <row r="117" spans="1:9" x14ac:dyDescent="0.2">
      <c r="A117" s="25" t="s">
        <v>129</v>
      </c>
      <c r="B117" s="25" t="s">
        <v>139</v>
      </c>
      <c r="C117" s="25">
        <v>340</v>
      </c>
      <c r="D117" s="25" t="s">
        <v>54</v>
      </c>
      <c r="E117" s="25" t="s">
        <v>31</v>
      </c>
      <c r="F117" s="25">
        <v>201812</v>
      </c>
      <c r="G117" s="13">
        <f>'3. Isi Produksi'!U117</f>
        <v>0</v>
      </c>
      <c r="H117" s="13">
        <f>'3. Isi Produksi'!V117</f>
        <v>0</v>
      </c>
      <c r="I117" s="13">
        <f>'3. Isi Produksi'!W117</f>
        <v>0</v>
      </c>
    </row>
    <row r="118" spans="1:9" x14ac:dyDescent="0.2">
      <c r="A118" s="25" t="s">
        <v>129</v>
      </c>
      <c r="B118" s="25" t="s">
        <v>139</v>
      </c>
      <c r="C118" s="25">
        <v>340</v>
      </c>
      <c r="D118" s="25" t="s">
        <v>55</v>
      </c>
      <c r="E118" s="25" t="s">
        <v>31</v>
      </c>
      <c r="F118" s="25">
        <v>201807</v>
      </c>
      <c r="G118" s="13">
        <f>'3. Isi Produksi'!U118</f>
        <v>0</v>
      </c>
      <c r="H118" s="13">
        <f>'3. Isi Produksi'!V118</f>
        <v>0</v>
      </c>
      <c r="I118" s="13">
        <f>'3. Isi Produksi'!W118</f>
        <v>0</v>
      </c>
    </row>
    <row r="119" spans="1:9" x14ac:dyDescent="0.2">
      <c r="A119" s="25" t="s">
        <v>129</v>
      </c>
      <c r="B119" s="25" t="s">
        <v>139</v>
      </c>
      <c r="C119" s="25">
        <v>340</v>
      </c>
      <c r="D119" s="25" t="s">
        <v>55</v>
      </c>
      <c r="E119" s="25" t="s">
        <v>31</v>
      </c>
      <c r="F119" s="25">
        <v>201808</v>
      </c>
      <c r="G119" s="13">
        <f>'3. Isi Produksi'!U119</f>
        <v>0</v>
      </c>
      <c r="H119" s="13">
        <f>'3. Isi Produksi'!V119</f>
        <v>0</v>
      </c>
      <c r="I119" s="13">
        <f>'3. Isi Produksi'!W119</f>
        <v>0</v>
      </c>
    </row>
    <row r="120" spans="1:9" x14ac:dyDescent="0.2">
      <c r="A120" s="25" t="s">
        <v>129</v>
      </c>
      <c r="B120" s="25" t="s">
        <v>139</v>
      </c>
      <c r="C120" s="25">
        <v>340</v>
      </c>
      <c r="D120" s="25" t="s">
        <v>55</v>
      </c>
      <c r="E120" s="25" t="s">
        <v>31</v>
      </c>
      <c r="F120" s="25">
        <v>201809</v>
      </c>
      <c r="G120" s="13">
        <f>'3. Isi Produksi'!U120</f>
        <v>0</v>
      </c>
      <c r="H120" s="13">
        <f>'3. Isi Produksi'!V120</f>
        <v>0</v>
      </c>
      <c r="I120" s="13">
        <f>'3. Isi Produksi'!W120</f>
        <v>0</v>
      </c>
    </row>
    <row r="121" spans="1:9" x14ac:dyDescent="0.2">
      <c r="A121" s="25" t="s">
        <v>129</v>
      </c>
      <c r="B121" s="25" t="s">
        <v>139</v>
      </c>
      <c r="C121" s="25">
        <v>340</v>
      </c>
      <c r="D121" s="25" t="s">
        <v>55</v>
      </c>
      <c r="E121" s="25" t="s">
        <v>31</v>
      </c>
      <c r="F121" s="25">
        <v>201810</v>
      </c>
      <c r="G121" s="13">
        <f>'3. Isi Produksi'!U121</f>
        <v>0</v>
      </c>
      <c r="H121" s="13">
        <f>'3. Isi Produksi'!V121</f>
        <v>0</v>
      </c>
      <c r="I121" s="13">
        <f>'3. Isi Produksi'!W121</f>
        <v>0</v>
      </c>
    </row>
    <row r="122" spans="1:9" x14ac:dyDescent="0.2">
      <c r="A122" s="25" t="s">
        <v>129</v>
      </c>
      <c r="B122" s="25" t="s">
        <v>139</v>
      </c>
      <c r="C122" s="25">
        <v>340</v>
      </c>
      <c r="D122" s="25" t="s">
        <v>55</v>
      </c>
      <c r="E122" s="25" t="s">
        <v>31</v>
      </c>
      <c r="F122" s="25">
        <v>201811</v>
      </c>
      <c r="G122" s="13">
        <f>'3. Isi Produksi'!U122</f>
        <v>0</v>
      </c>
      <c r="H122" s="13">
        <f>'3. Isi Produksi'!V122</f>
        <v>0</v>
      </c>
      <c r="I122" s="13">
        <f>'3. Isi Produksi'!W122</f>
        <v>0</v>
      </c>
    </row>
    <row r="123" spans="1:9" x14ac:dyDescent="0.2">
      <c r="A123" s="25" t="s">
        <v>129</v>
      </c>
      <c r="B123" s="25" t="s">
        <v>139</v>
      </c>
      <c r="C123" s="25">
        <v>340</v>
      </c>
      <c r="D123" s="25" t="s">
        <v>55</v>
      </c>
      <c r="E123" s="25" t="s">
        <v>31</v>
      </c>
      <c r="F123" s="25">
        <v>201812</v>
      </c>
      <c r="G123" s="13">
        <f>'3. Isi Produksi'!U123</f>
        <v>0</v>
      </c>
      <c r="H123" s="13">
        <f>'3. Isi Produksi'!V123</f>
        <v>0</v>
      </c>
      <c r="I123" s="13">
        <f>'3. Isi Produksi'!W123</f>
        <v>0</v>
      </c>
    </row>
    <row r="124" spans="1:9" x14ac:dyDescent="0.2">
      <c r="A124" s="25" t="s">
        <v>129</v>
      </c>
      <c r="B124" s="25" t="s">
        <v>140</v>
      </c>
      <c r="C124" s="25">
        <v>339</v>
      </c>
      <c r="D124" s="25" t="s">
        <v>54</v>
      </c>
      <c r="E124" s="25" t="s">
        <v>31</v>
      </c>
      <c r="F124" s="25">
        <v>201807</v>
      </c>
      <c r="G124" s="13">
        <f>'3. Isi Produksi'!U124</f>
        <v>0</v>
      </c>
      <c r="H124" s="13">
        <f>'3. Isi Produksi'!V124</f>
        <v>0</v>
      </c>
      <c r="I124" s="13">
        <f>'3. Isi Produksi'!W124</f>
        <v>0</v>
      </c>
    </row>
    <row r="125" spans="1:9" x14ac:dyDescent="0.2">
      <c r="A125" s="25" t="s">
        <v>129</v>
      </c>
      <c r="B125" s="25" t="s">
        <v>140</v>
      </c>
      <c r="C125" s="25">
        <v>339</v>
      </c>
      <c r="D125" s="25" t="s">
        <v>54</v>
      </c>
      <c r="E125" s="25" t="s">
        <v>31</v>
      </c>
      <c r="F125" s="25">
        <v>201808</v>
      </c>
      <c r="G125" s="13">
        <f>'3. Isi Produksi'!U125</f>
        <v>0</v>
      </c>
      <c r="H125" s="13">
        <f>'3. Isi Produksi'!V125</f>
        <v>0</v>
      </c>
      <c r="I125" s="13">
        <f>'3. Isi Produksi'!W125</f>
        <v>0</v>
      </c>
    </row>
    <row r="126" spans="1:9" x14ac:dyDescent="0.2">
      <c r="A126" s="25" t="s">
        <v>129</v>
      </c>
      <c r="B126" s="25" t="s">
        <v>140</v>
      </c>
      <c r="C126" s="25">
        <v>339</v>
      </c>
      <c r="D126" s="25" t="s">
        <v>54</v>
      </c>
      <c r="E126" s="25" t="s">
        <v>31</v>
      </c>
      <c r="F126" s="25">
        <v>201809</v>
      </c>
      <c r="G126" s="13">
        <f>'3. Isi Produksi'!U126</f>
        <v>0</v>
      </c>
      <c r="H126" s="13">
        <f>'3. Isi Produksi'!V126</f>
        <v>0</v>
      </c>
      <c r="I126" s="13">
        <f>'3. Isi Produksi'!W126</f>
        <v>0</v>
      </c>
    </row>
    <row r="127" spans="1:9" x14ac:dyDescent="0.2">
      <c r="A127" s="25" t="s">
        <v>129</v>
      </c>
      <c r="B127" s="25" t="s">
        <v>140</v>
      </c>
      <c r="C127" s="25">
        <v>339</v>
      </c>
      <c r="D127" s="25" t="s">
        <v>54</v>
      </c>
      <c r="E127" s="25" t="s">
        <v>31</v>
      </c>
      <c r="F127" s="25">
        <v>201810</v>
      </c>
      <c r="G127" s="13">
        <f>'3. Isi Produksi'!U127</f>
        <v>0</v>
      </c>
      <c r="H127" s="13">
        <f>'3. Isi Produksi'!V127</f>
        <v>0</v>
      </c>
      <c r="I127" s="13">
        <f>'3. Isi Produksi'!W127</f>
        <v>0</v>
      </c>
    </row>
    <row r="128" spans="1:9" x14ac:dyDescent="0.2">
      <c r="A128" s="25" t="s">
        <v>129</v>
      </c>
      <c r="B128" s="25" t="s">
        <v>140</v>
      </c>
      <c r="C128" s="25">
        <v>339</v>
      </c>
      <c r="D128" s="25" t="s">
        <v>54</v>
      </c>
      <c r="E128" s="25" t="s">
        <v>31</v>
      </c>
      <c r="F128" s="25">
        <v>201811</v>
      </c>
      <c r="G128" s="13">
        <f>'3. Isi Produksi'!U128</f>
        <v>0</v>
      </c>
      <c r="H128" s="13">
        <f>'3. Isi Produksi'!V128</f>
        <v>0</v>
      </c>
      <c r="I128" s="13">
        <f>'3. Isi Produksi'!W128</f>
        <v>0</v>
      </c>
    </row>
    <row r="129" spans="1:9" x14ac:dyDescent="0.2">
      <c r="A129" s="25" t="s">
        <v>129</v>
      </c>
      <c r="B129" s="25" t="s">
        <v>140</v>
      </c>
      <c r="C129" s="25">
        <v>339</v>
      </c>
      <c r="D129" s="25" t="s">
        <v>54</v>
      </c>
      <c r="E129" s="25" t="s">
        <v>31</v>
      </c>
      <c r="F129" s="25">
        <v>201812</v>
      </c>
      <c r="G129" s="13">
        <f>'3. Isi Produksi'!U129</f>
        <v>0</v>
      </c>
      <c r="H129" s="13">
        <f>'3. Isi Produksi'!V129</f>
        <v>0</v>
      </c>
      <c r="I129" s="13">
        <f>'3. Isi Produksi'!W129</f>
        <v>0</v>
      </c>
    </row>
    <row r="130" spans="1:9" x14ac:dyDescent="0.2">
      <c r="A130" s="25" t="s">
        <v>129</v>
      </c>
      <c r="B130" s="25" t="s">
        <v>140</v>
      </c>
      <c r="C130" s="25">
        <v>339</v>
      </c>
      <c r="D130" s="25" t="s">
        <v>55</v>
      </c>
      <c r="E130" s="25" t="s">
        <v>31</v>
      </c>
      <c r="F130" s="25">
        <v>201807</v>
      </c>
      <c r="G130" s="13">
        <f>'3. Isi Produksi'!U130</f>
        <v>0</v>
      </c>
      <c r="H130" s="13">
        <f>'3. Isi Produksi'!V130</f>
        <v>0</v>
      </c>
      <c r="I130" s="13">
        <f>'3. Isi Produksi'!W130</f>
        <v>0</v>
      </c>
    </row>
    <row r="131" spans="1:9" x14ac:dyDescent="0.2">
      <c r="A131" s="25" t="s">
        <v>129</v>
      </c>
      <c r="B131" s="25" t="s">
        <v>140</v>
      </c>
      <c r="C131" s="25">
        <v>339</v>
      </c>
      <c r="D131" s="25" t="s">
        <v>55</v>
      </c>
      <c r="E131" s="25" t="s">
        <v>31</v>
      </c>
      <c r="F131" s="25">
        <v>201808</v>
      </c>
      <c r="G131" s="13">
        <f>'3. Isi Produksi'!U131</f>
        <v>0</v>
      </c>
      <c r="H131" s="13">
        <f>'3. Isi Produksi'!V131</f>
        <v>0</v>
      </c>
      <c r="I131" s="13">
        <f>'3. Isi Produksi'!W131</f>
        <v>0</v>
      </c>
    </row>
    <row r="132" spans="1:9" x14ac:dyDescent="0.2">
      <c r="A132" s="25" t="s">
        <v>129</v>
      </c>
      <c r="B132" s="25" t="s">
        <v>140</v>
      </c>
      <c r="C132" s="25">
        <v>339</v>
      </c>
      <c r="D132" s="25" t="s">
        <v>55</v>
      </c>
      <c r="E132" s="25" t="s">
        <v>31</v>
      </c>
      <c r="F132" s="25">
        <v>201809</v>
      </c>
      <c r="G132" s="13">
        <f>'3. Isi Produksi'!U132</f>
        <v>0</v>
      </c>
      <c r="H132" s="13">
        <f>'3. Isi Produksi'!V132</f>
        <v>0</v>
      </c>
      <c r="I132" s="13">
        <f>'3. Isi Produksi'!W132</f>
        <v>0</v>
      </c>
    </row>
    <row r="133" spans="1:9" x14ac:dyDescent="0.2">
      <c r="A133" s="25" t="s">
        <v>129</v>
      </c>
      <c r="B133" s="25" t="s">
        <v>140</v>
      </c>
      <c r="C133" s="25">
        <v>339</v>
      </c>
      <c r="D133" s="25" t="s">
        <v>55</v>
      </c>
      <c r="E133" s="25" t="s">
        <v>31</v>
      </c>
      <c r="F133" s="25">
        <v>201810</v>
      </c>
      <c r="G133" s="13">
        <f>'3. Isi Produksi'!U133</f>
        <v>0</v>
      </c>
      <c r="H133" s="13">
        <f>'3. Isi Produksi'!V133</f>
        <v>0</v>
      </c>
      <c r="I133" s="13">
        <f>'3. Isi Produksi'!W133</f>
        <v>0</v>
      </c>
    </row>
    <row r="134" spans="1:9" x14ac:dyDescent="0.2">
      <c r="A134" s="25" t="s">
        <v>129</v>
      </c>
      <c r="B134" s="25" t="s">
        <v>140</v>
      </c>
      <c r="C134" s="25">
        <v>339</v>
      </c>
      <c r="D134" s="25" t="s">
        <v>55</v>
      </c>
      <c r="E134" s="25" t="s">
        <v>31</v>
      </c>
      <c r="F134" s="25">
        <v>201811</v>
      </c>
      <c r="G134" s="13">
        <f>'3. Isi Produksi'!U134</f>
        <v>0</v>
      </c>
      <c r="H134" s="13">
        <f>'3. Isi Produksi'!V134</f>
        <v>0</v>
      </c>
      <c r="I134" s="13">
        <f>'3. Isi Produksi'!W134</f>
        <v>0</v>
      </c>
    </row>
    <row r="135" spans="1:9" x14ac:dyDescent="0.2">
      <c r="A135" s="25" t="s">
        <v>129</v>
      </c>
      <c r="B135" s="25" t="s">
        <v>140</v>
      </c>
      <c r="C135" s="25">
        <v>339</v>
      </c>
      <c r="D135" s="25" t="s">
        <v>55</v>
      </c>
      <c r="E135" s="25" t="s">
        <v>31</v>
      </c>
      <c r="F135" s="25">
        <v>201812</v>
      </c>
      <c r="G135" s="13">
        <f>'3. Isi Produksi'!U135</f>
        <v>0</v>
      </c>
      <c r="H135" s="13">
        <f>'3. Isi Produksi'!V135</f>
        <v>0</v>
      </c>
      <c r="I135" s="13">
        <f>'3. Isi Produksi'!W135</f>
        <v>0</v>
      </c>
    </row>
    <row r="136" spans="1:9" x14ac:dyDescent="0.2">
      <c r="A136" s="25" t="s">
        <v>129</v>
      </c>
      <c r="B136" s="25" t="s">
        <v>141</v>
      </c>
      <c r="C136" s="25">
        <v>335</v>
      </c>
      <c r="D136" s="25" t="s">
        <v>54</v>
      </c>
      <c r="E136" s="25" t="s">
        <v>31</v>
      </c>
      <c r="F136" s="25">
        <v>201807</v>
      </c>
      <c r="G136" s="13">
        <f>'3. Isi Produksi'!U136</f>
        <v>0</v>
      </c>
      <c r="H136" s="13">
        <f>'3. Isi Produksi'!V136</f>
        <v>0</v>
      </c>
      <c r="I136" s="13">
        <f>'3. Isi Produksi'!W136</f>
        <v>0</v>
      </c>
    </row>
    <row r="137" spans="1:9" x14ac:dyDescent="0.2">
      <c r="A137" s="25" t="s">
        <v>129</v>
      </c>
      <c r="B137" s="25" t="s">
        <v>141</v>
      </c>
      <c r="C137" s="25">
        <v>335</v>
      </c>
      <c r="D137" s="25" t="s">
        <v>54</v>
      </c>
      <c r="E137" s="25" t="s">
        <v>31</v>
      </c>
      <c r="F137" s="25">
        <v>201808</v>
      </c>
      <c r="G137" s="13">
        <f>'3. Isi Produksi'!U137</f>
        <v>0</v>
      </c>
      <c r="H137" s="13">
        <f>'3. Isi Produksi'!V137</f>
        <v>0</v>
      </c>
      <c r="I137" s="13">
        <f>'3. Isi Produksi'!W137</f>
        <v>0</v>
      </c>
    </row>
    <row r="138" spans="1:9" x14ac:dyDescent="0.2">
      <c r="A138" s="25" t="s">
        <v>129</v>
      </c>
      <c r="B138" s="25" t="s">
        <v>141</v>
      </c>
      <c r="C138" s="25">
        <v>335</v>
      </c>
      <c r="D138" s="25" t="s">
        <v>54</v>
      </c>
      <c r="E138" s="25" t="s">
        <v>31</v>
      </c>
      <c r="F138" s="25">
        <v>201809</v>
      </c>
      <c r="G138" s="13">
        <f>'3. Isi Produksi'!U138</f>
        <v>0</v>
      </c>
      <c r="H138" s="13">
        <f>'3. Isi Produksi'!V138</f>
        <v>0</v>
      </c>
      <c r="I138" s="13">
        <f>'3. Isi Produksi'!W138</f>
        <v>0</v>
      </c>
    </row>
    <row r="139" spans="1:9" x14ac:dyDescent="0.2">
      <c r="A139" s="25" t="s">
        <v>129</v>
      </c>
      <c r="B139" s="25" t="s">
        <v>141</v>
      </c>
      <c r="C139" s="25">
        <v>335</v>
      </c>
      <c r="D139" s="25" t="s">
        <v>54</v>
      </c>
      <c r="E139" s="25" t="s">
        <v>31</v>
      </c>
      <c r="F139" s="25">
        <v>201810</v>
      </c>
      <c r="G139" s="13">
        <f>'3. Isi Produksi'!U139</f>
        <v>0</v>
      </c>
      <c r="H139" s="13">
        <f>'3. Isi Produksi'!V139</f>
        <v>0</v>
      </c>
      <c r="I139" s="13">
        <f>'3. Isi Produksi'!W139</f>
        <v>0</v>
      </c>
    </row>
    <row r="140" spans="1:9" x14ac:dyDescent="0.2">
      <c r="A140" s="25" t="s">
        <v>129</v>
      </c>
      <c r="B140" s="25" t="s">
        <v>141</v>
      </c>
      <c r="C140" s="25">
        <v>335</v>
      </c>
      <c r="D140" s="25" t="s">
        <v>54</v>
      </c>
      <c r="E140" s="25" t="s">
        <v>31</v>
      </c>
      <c r="F140" s="25">
        <v>201811</v>
      </c>
      <c r="G140" s="13">
        <f>'3. Isi Produksi'!U140</f>
        <v>0</v>
      </c>
      <c r="H140" s="13">
        <f>'3. Isi Produksi'!V140</f>
        <v>0</v>
      </c>
      <c r="I140" s="13">
        <f>'3. Isi Produksi'!W140</f>
        <v>0</v>
      </c>
    </row>
    <row r="141" spans="1:9" x14ac:dyDescent="0.2">
      <c r="A141" s="25" t="s">
        <v>129</v>
      </c>
      <c r="B141" s="25" t="s">
        <v>141</v>
      </c>
      <c r="C141" s="25">
        <v>335</v>
      </c>
      <c r="D141" s="25" t="s">
        <v>54</v>
      </c>
      <c r="E141" s="25" t="s">
        <v>31</v>
      </c>
      <c r="F141" s="25">
        <v>201812</v>
      </c>
      <c r="G141" s="13">
        <f>'3. Isi Produksi'!U141</f>
        <v>0</v>
      </c>
      <c r="H141" s="13">
        <f>'3. Isi Produksi'!V141</f>
        <v>0</v>
      </c>
      <c r="I141" s="13">
        <f>'3. Isi Produksi'!W141</f>
        <v>0</v>
      </c>
    </row>
    <row r="142" spans="1:9" x14ac:dyDescent="0.2">
      <c r="A142" s="25" t="s">
        <v>129</v>
      </c>
      <c r="B142" s="25" t="s">
        <v>141</v>
      </c>
      <c r="C142" s="25">
        <v>335</v>
      </c>
      <c r="D142" s="25" t="s">
        <v>55</v>
      </c>
      <c r="E142" s="25" t="s">
        <v>31</v>
      </c>
      <c r="F142" s="25">
        <v>201807</v>
      </c>
      <c r="G142" s="13">
        <f>'3. Isi Produksi'!U142</f>
        <v>0</v>
      </c>
      <c r="H142" s="13">
        <f>'3. Isi Produksi'!V142</f>
        <v>0</v>
      </c>
      <c r="I142" s="13">
        <f>'3. Isi Produksi'!W142</f>
        <v>0</v>
      </c>
    </row>
    <row r="143" spans="1:9" x14ac:dyDescent="0.2">
      <c r="A143" s="25" t="s">
        <v>129</v>
      </c>
      <c r="B143" s="25" t="s">
        <v>141</v>
      </c>
      <c r="C143" s="25">
        <v>335</v>
      </c>
      <c r="D143" s="25" t="s">
        <v>55</v>
      </c>
      <c r="E143" s="25" t="s">
        <v>31</v>
      </c>
      <c r="F143" s="25">
        <v>201808</v>
      </c>
      <c r="G143" s="13">
        <f>'3. Isi Produksi'!U143</f>
        <v>0</v>
      </c>
      <c r="H143" s="13">
        <f>'3. Isi Produksi'!V143</f>
        <v>0</v>
      </c>
      <c r="I143" s="13">
        <f>'3. Isi Produksi'!W143</f>
        <v>0</v>
      </c>
    </row>
    <row r="144" spans="1:9" x14ac:dyDescent="0.2">
      <c r="A144" s="25" t="s">
        <v>129</v>
      </c>
      <c r="B144" s="25" t="s">
        <v>141</v>
      </c>
      <c r="C144" s="25">
        <v>335</v>
      </c>
      <c r="D144" s="25" t="s">
        <v>55</v>
      </c>
      <c r="E144" s="25" t="s">
        <v>31</v>
      </c>
      <c r="F144" s="25">
        <v>201809</v>
      </c>
      <c r="G144" s="13">
        <f>'3. Isi Produksi'!U144</f>
        <v>0</v>
      </c>
      <c r="H144" s="13">
        <f>'3. Isi Produksi'!V144</f>
        <v>0</v>
      </c>
      <c r="I144" s="13">
        <f>'3. Isi Produksi'!W144</f>
        <v>0</v>
      </c>
    </row>
    <row r="145" spans="1:9" x14ac:dyDescent="0.2">
      <c r="A145" s="25" t="s">
        <v>129</v>
      </c>
      <c r="B145" s="25" t="s">
        <v>141</v>
      </c>
      <c r="C145" s="25">
        <v>335</v>
      </c>
      <c r="D145" s="25" t="s">
        <v>55</v>
      </c>
      <c r="E145" s="25" t="s">
        <v>31</v>
      </c>
      <c r="F145" s="25">
        <v>201810</v>
      </c>
      <c r="G145" s="13">
        <f>'3. Isi Produksi'!U145</f>
        <v>0</v>
      </c>
      <c r="H145" s="13">
        <f>'3. Isi Produksi'!V145</f>
        <v>0</v>
      </c>
      <c r="I145" s="13">
        <f>'3. Isi Produksi'!W145</f>
        <v>0</v>
      </c>
    </row>
    <row r="146" spans="1:9" x14ac:dyDescent="0.2">
      <c r="A146" s="25" t="s">
        <v>129</v>
      </c>
      <c r="B146" s="25" t="s">
        <v>141</v>
      </c>
      <c r="C146" s="25">
        <v>335</v>
      </c>
      <c r="D146" s="25" t="s">
        <v>55</v>
      </c>
      <c r="E146" s="25" t="s">
        <v>31</v>
      </c>
      <c r="F146" s="25">
        <v>201811</v>
      </c>
      <c r="G146" s="13">
        <f>'3. Isi Produksi'!U146</f>
        <v>0</v>
      </c>
      <c r="H146" s="13">
        <f>'3. Isi Produksi'!V146</f>
        <v>0</v>
      </c>
      <c r="I146" s="13">
        <f>'3. Isi Produksi'!W146</f>
        <v>0</v>
      </c>
    </row>
    <row r="147" spans="1:9" x14ac:dyDescent="0.2">
      <c r="A147" s="25" t="s">
        <v>129</v>
      </c>
      <c r="B147" s="25" t="s">
        <v>141</v>
      </c>
      <c r="C147" s="25">
        <v>335</v>
      </c>
      <c r="D147" s="25" t="s">
        <v>55</v>
      </c>
      <c r="E147" s="25" t="s">
        <v>31</v>
      </c>
      <c r="F147" s="25">
        <v>201812</v>
      </c>
      <c r="G147" s="13">
        <f>'3. Isi Produksi'!U147</f>
        <v>0</v>
      </c>
      <c r="H147" s="13">
        <f>'3. Isi Produksi'!V147</f>
        <v>0</v>
      </c>
      <c r="I147" s="13">
        <f>'3. Isi Produksi'!W147</f>
        <v>0</v>
      </c>
    </row>
    <row r="148" spans="1:9" x14ac:dyDescent="0.2">
      <c r="A148" s="25" t="s">
        <v>129</v>
      </c>
      <c r="B148" s="25" t="s">
        <v>142</v>
      </c>
      <c r="C148" s="25">
        <v>336</v>
      </c>
      <c r="D148" s="25" t="s">
        <v>54</v>
      </c>
      <c r="E148" s="25" t="s">
        <v>31</v>
      </c>
      <c r="F148" s="25">
        <v>201807</v>
      </c>
      <c r="G148" s="13">
        <f>'3. Isi Produksi'!U148</f>
        <v>0</v>
      </c>
      <c r="H148" s="13">
        <f>'3. Isi Produksi'!V148</f>
        <v>0</v>
      </c>
      <c r="I148" s="13">
        <f>'3. Isi Produksi'!W148</f>
        <v>0</v>
      </c>
    </row>
    <row r="149" spans="1:9" x14ac:dyDescent="0.2">
      <c r="A149" s="25" t="s">
        <v>129</v>
      </c>
      <c r="B149" s="25" t="s">
        <v>142</v>
      </c>
      <c r="C149" s="25">
        <v>336</v>
      </c>
      <c r="D149" s="25" t="s">
        <v>54</v>
      </c>
      <c r="E149" s="25" t="s">
        <v>31</v>
      </c>
      <c r="F149" s="25">
        <v>201808</v>
      </c>
      <c r="G149" s="13">
        <f>'3. Isi Produksi'!U149</f>
        <v>0</v>
      </c>
      <c r="H149" s="13">
        <f>'3. Isi Produksi'!V149</f>
        <v>0</v>
      </c>
      <c r="I149" s="13">
        <f>'3. Isi Produksi'!W149</f>
        <v>0</v>
      </c>
    </row>
    <row r="150" spans="1:9" x14ac:dyDescent="0.2">
      <c r="A150" s="25" t="s">
        <v>129</v>
      </c>
      <c r="B150" s="25" t="s">
        <v>142</v>
      </c>
      <c r="C150" s="25">
        <v>336</v>
      </c>
      <c r="D150" s="25" t="s">
        <v>54</v>
      </c>
      <c r="E150" s="25" t="s">
        <v>31</v>
      </c>
      <c r="F150" s="25">
        <v>201809</v>
      </c>
      <c r="G150" s="13">
        <f>'3. Isi Produksi'!U150</f>
        <v>0</v>
      </c>
      <c r="H150" s="13">
        <f>'3. Isi Produksi'!V150</f>
        <v>0</v>
      </c>
      <c r="I150" s="13">
        <f>'3. Isi Produksi'!W150</f>
        <v>0</v>
      </c>
    </row>
    <row r="151" spans="1:9" x14ac:dyDescent="0.2">
      <c r="A151" s="25" t="s">
        <v>129</v>
      </c>
      <c r="B151" s="25" t="s">
        <v>142</v>
      </c>
      <c r="C151" s="25">
        <v>336</v>
      </c>
      <c r="D151" s="25" t="s">
        <v>54</v>
      </c>
      <c r="E151" s="25" t="s">
        <v>31</v>
      </c>
      <c r="F151" s="25">
        <v>201810</v>
      </c>
      <c r="G151" s="13">
        <f>'3. Isi Produksi'!U151</f>
        <v>0</v>
      </c>
      <c r="H151" s="13">
        <f>'3. Isi Produksi'!V151</f>
        <v>0</v>
      </c>
      <c r="I151" s="13">
        <f>'3. Isi Produksi'!W151</f>
        <v>0</v>
      </c>
    </row>
    <row r="152" spans="1:9" x14ac:dyDescent="0.2">
      <c r="A152" s="25" t="s">
        <v>129</v>
      </c>
      <c r="B152" s="25" t="s">
        <v>142</v>
      </c>
      <c r="C152" s="25">
        <v>336</v>
      </c>
      <c r="D152" s="25" t="s">
        <v>54</v>
      </c>
      <c r="E152" s="25" t="s">
        <v>31</v>
      </c>
      <c r="F152" s="25">
        <v>201811</v>
      </c>
      <c r="G152" s="13">
        <f>'3. Isi Produksi'!U152</f>
        <v>0</v>
      </c>
      <c r="H152" s="13">
        <f>'3. Isi Produksi'!V152</f>
        <v>0</v>
      </c>
      <c r="I152" s="13">
        <f>'3. Isi Produksi'!W152</f>
        <v>0</v>
      </c>
    </row>
    <row r="153" spans="1:9" x14ac:dyDescent="0.2">
      <c r="A153" s="25" t="s">
        <v>129</v>
      </c>
      <c r="B153" s="25" t="s">
        <v>142</v>
      </c>
      <c r="C153" s="25">
        <v>336</v>
      </c>
      <c r="D153" s="25" t="s">
        <v>54</v>
      </c>
      <c r="E153" s="25" t="s">
        <v>31</v>
      </c>
      <c r="F153" s="25">
        <v>201812</v>
      </c>
      <c r="G153" s="13">
        <f>'3. Isi Produksi'!U153</f>
        <v>0</v>
      </c>
      <c r="H153" s="13">
        <f>'3. Isi Produksi'!V153</f>
        <v>0</v>
      </c>
      <c r="I153" s="13">
        <f>'3. Isi Produksi'!W153</f>
        <v>0</v>
      </c>
    </row>
    <row r="154" spans="1:9" x14ac:dyDescent="0.2">
      <c r="A154" s="25" t="s">
        <v>129</v>
      </c>
      <c r="B154" s="25" t="s">
        <v>142</v>
      </c>
      <c r="C154" s="25">
        <v>336</v>
      </c>
      <c r="D154" s="25" t="s">
        <v>55</v>
      </c>
      <c r="E154" s="25" t="s">
        <v>31</v>
      </c>
      <c r="F154" s="25">
        <v>201807</v>
      </c>
      <c r="G154" s="13">
        <f>'3. Isi Produksi'!U154</f>
        <v>0</v>
      </c>
      <c r="H154" s="13">
        <f>'3. Isi Produksi'!V154</f>
        <v>0</v>
      </c>
      <c r="I154" s="13">
        <f>'3. Isi Produksi'!W154</f>
        <v>0</v>
      </c>
    </row>
    <row r="155" spans="1:9" x14ac:dyDescent="0.2">
      <c r="A155" s="25" t="s">
        <v>129</v>
      </c>
      <c r="B155" s="25" t="s">
        <v>142</v>
      </c>
      <c r="C155" s="25">
        <v>336</v>
      </c>
      <c r="D155" s="25" t="s">
        <v>55</v>
      </c>
      <c r="E155" s="25" t="s">
        <v>31</v>
      </c>
      <c r="F155" s="25">
        <v>201808</v>
      </c>
      <c r="G155" s="13">
        <f>'3. Isi Produksi'!U155</f>
        <v>0</v>
      </c>
      <c r="H155" s="13">
        <f>'3. Isi Produksi'!V155</f>
        <v>0</v>
      </c>
      <c r="I155" s="13">
        <f>'3. Isi Produksi'!W155</f>
        <v>0</v>
      </c>
    </row>
    <row r="156" spans="1:9" x14ac:dyDescent="0.2">
      <c r="A156" s="25" t="s">
        <v>129</v>
      </c>
      <c r="B156" s="25" t="s">
        <v>142</v>
      </c>
      <c r="C156" s="25">
        <v>336</v>
      </c>
      <c r="D156" s="25" t="s">
        <v>55</v>
      </c>
      <c r="E156" s="25" t="s">
        <v>31</v>
      </c>
      <c r="F156" s="25">
        <v>201809</v>
      </c>
      <c r="G156" s="13">
        <f>'3. Isi Produksi'!U156</f>
        <v>0</v>
      </c>
      <c r="H156" s="13">
        <f>'3. Isi Produksi'!V156</f>
        <v>0</v>
      </c>
      <c r="I156" s="13">
        <f>'3. Isi Produksi'!W156</f>
        <v>0</v>
      </c>
    </row>
    <row r="157" spans="1:9" x14ac:dyDescent="0.2">
      <c r="A157" s="25" t="s">
        <v>129</v>
      </c>
      <c r="B157" s="25" t="s">
        <v>142</v>
      </c>
      <c r="C157" s="25">
        <v>336</v>
      </c>
      <c r="D157" s="25" t="s">
        <v>55</v>
      </c>
      <c r="E157" s="25" t="s">
        <v>31</v>
      </c>
      <c r="F157" s="25">
        <v>201810</v>
      </c>
      <c r="G157" s="13">
        <f>'3. Isi Produksi'!U157</f>
        <v>0</v>
      </c>
      <c r="H157" s="13">
        <f>'3. Isi Produksi'!V157</f>
        <v>0</v>
      </c>
      <c r="I157" s="13">
        <f>'3. Isi Produksi'!W157</f>
        <v>0</v>
      </c>
    </row>
    <row r="158" spans="1:9" x14ac:dyDescent="0.2">
      <c r="A158" s="25" t="s">
        <v>129</v>
      </c>
      <c r="B158" s="25" t="s">
        <v>142</v>
      </c>
      <c r="C158" s="25">
        <v>336</v>
      </c>
      <c r="D158" s="25" t="s">
        <v>55</v>
      </c>
      <c r="E158" s="25" t="s">
        <v>31</v>
      </c>
      <c r="F158" s="25">
        <v>201811</v>
      </c>
      <c r="G158" s="13">
        <f>'3. Isi Produksi'!U158</f>
        <v>0</v>
      </c>
      <c r="H158" s="13">
        <f>'3. Isi Produksi'!V158</f>
        <v>0</v>
      </c>
      <c r="I158" s="13">
        <f>'3. Isi Produksi'!W158</f>
        <v>0</v>
      </c>
    </row>
    <row r="159" spans="1:9" x14ac:dyDescent="0.2">
      <c r="A159" s="25" t="s">
        <v>129</v>
      </c>
      <c r="B159" s="25" t="s">
        <v>142</v>
      </c>
      <c r="C159" s="25">
        <v>336</v>
      </c>
      <c r="D159" s="25" t="s">
        <v>55</v>
      </c>
      <c r="E159" s="25" t="s">
        <v>31</v>
      </c>
      <c r="F159" s="25">
        <v>201812</v>
      </c>
      <c r="G159" s="13">
        <f>'3. Isi Produksi'!U159</f>
        <v>0</v>
      </c>
      <c r="H159" s="13">
        <f>'3. Isi Produksi'!V159</f>
        <v>0</v>
      </c>
      <c r="I159" s="13">
        <f>'3. Isi Produksi'!W159</f>
        <v>0</v>
      </c>
    </row>
    <row r="160" spans="1:9" x14ac:dyDescent="0.2">
      <c r="A160" s="25" t="s">
        <v>129</v>
      </c>
      <c r="B160" s="25" t="s">
        <v>143</v>
      </c>
      <c r="C160" s="25">
        <v>342</v>
      </c>
      <c r="D160" s="25" t="s">
        <v>54</v>
      </c>
      <c r="E160" s="25" t="s">
        <v>31</v>
      </c>
      <c r="F160" s="25">
        <v>201807</v>
      </c>
      <c r="G160" s="13">
        <f>'3. Isi Produksi'!U160</f>
        <v>0</v>
      </c>
      <c r="H160" s="13">
        <f>'3. Isi Produksi'!V160</f>
        <v>0</v>
      </c>
      <c r="I160" s="13">
        <f>'3. Isi Produksi'!W160</f>
        <v>0</v>
      </c>
    </row>
    <row r="161" spans="1:9" x14ac:dyDescent="0.2">
      <c r="A161" s="25" t="s">
        <v>129</v>
      </c>
      <c r="B161" s="25" t="s">
        <v>143</v>
      </c>
      <c r="C161" s="25">
        <v>342</v>
      </c>
      <c r="D161" s="25" t="s">
        <v>54</v>
      </c>
      <c r="E161" s="25" t="s">
        <v>31</v>
      </c>
      <c r="F161" s="25">
        <v>201808</v>
      </c>
      <c r="G161" s="13">
        <f>'3. Isi Produksi'!U161</f>
        <v>0</v>
      </c>
      <c r="H161" s="13">
        <f>'3. Isi Produksi'!V161</f>
        <v>0</v>
      </c>
      <c r="I161" s="13">
        <f>'3. Isi Produksi'!W161</f>
        <v>0</v>
      </c>
    </row>
    <row r="162" spans="1:9" x14ac:dyDescent="0.2">
      <c r="A162" s="25" t="s">
        <v>129</v>
      </c>
      <c r="B162" s="25" t="s">
        <v>143</v>
      </c>
      <c r="C162" s="25">
        <v>342</v>
      </c>
      <c r="D162" s="25" t="s">
        <v>54</v>
      </c>
      <c r="E162" s="25" t="s">
        <v>31</v>
      </c>
      <c r="F162" s="25">
        <v>201809</v>
      </c>
      <c r="G162" s="13">
        <f>'3. Isi Produksi'!U162</f>
        <v>0</v>
      </c>
      <c r="H162" s="13">
        <f>'3. Isi Produksi'!V162</f>
        <v>0</v>
      </c>
      <c r="I162" s="13">
        <f>'3. Isi Produksi'!W162</f>
        <v>0</v>
      </c>
    </row>
    <row r="163" spans="1:9" x14ac:dyDescent="0.2">
      <c r="A163" s="25" t="s">
        <v>129</v>
      </c>
      <c r="B163" s="25" t="s">
        <v>143</v>
      </c>
      <c r="C163" s="25">
        <v>342</v>
      </c>
      <c r="D163" s="25" t="s">
        <v>54</v>
      </c>
      <c r="E163" s="25" t="s">
        <v>31</v>
      </c>
      <c r="F163" s="25">
        <v>201810</v>
      </c>
      <c r="G163" s="13">
        <f>'3. Isi Produksi'!U163</f>
        <v>0</v>
      </c>
      <c r="H163" s="13">
        <f>'3. Isi Produksi'!V163</f>
        <v>0</v>
      </c>
      <c r="I163" s="13">
        <f>'3. Isi Produksi'!W163</f>
        <v>0</v>
      </c>
    </row>
    <row r="164" spans="1:9" x14ac:dyDescent="0.2">
      <c r="A164" s="25" t="s">
        <v>129</v>
      </c>
      <c r="B164" s="25" t="s">
        <v>143</v>
      </c>
      <c r="C164" s="25">
        <v>342</v>
      </c>
      <c r="D164" s="25" t="s">
        <v>54</v>
      </c>
      <c r="E164" s="25" t="s">
        <v>31</v>
      </c>
      <c r="F164" s="25">
        <v>201811</v>
      </c>
      <c r="G164" s="13">
        <f>'3. Isi Produksi'!U164</f>
        <v>0</v>
      </c>
      <c r="H164" s="13">
        <f>'3. Isi Produksi'!V164</f>
        <v>0</v>
      </c>
      <c r="I164" s="13">
        <f>'3. Isi Produksi'!W164</f>
        <v>0</v>
      </c>
    </row>
    <row r="165" spans="1:9" x14ac:dyDescent="0.2">
      <c r="A165" s="25" t="s">
        <v>129</v>
      </c>
      <c r="B165" s="25" t="s">
        <v>143</v>
      </c>
      <c r="C165" s="25">
        <v>342</v>
      </c>
      <c r="D165" s="25" t="s">
        <v>54</v>
      </c>
      <c r="E165" s="25" t="s">
        <v>31</v>
      </c>
      <c r="F165" s="25">
        <v>201812</v>
      </c>
      <c r="G165" s="13">
        <f>'3. Isi Produksi'!U165</f>
        <v>0</v>
      </c>
      <c r="H165" s="13">
        <f>'3. Isi Produksi'!V165</f>
        <v>0</v>
      </c>
      <c r="I165" s="13">
        <f>'3. Isi Produksi'!W165</f>
        <v>0</v>
      </c>
    </row>
    <row r="166" spans="1:9" x14ac:dyDescent="0.2">
      <c r="A166" s="25" t="s">
        <v>129</v>
      </c>
      <c r="B166" s="25" t="s">
        <v>143</v>
      </c>
      <c r="C166" s="25">
        <v>342</v>
      </c>
      <c r="D166" s="25" t="s">
        <v>55</v>
      </c>
      <c r="E166" s="25" t="s">
        <v>31</v>
      </c>
      <c r="F166" s="25">
        <v>201807</v>
      </c>
      <c r="G166" s="13">
        <f>'3. Isi Produksi'!U166</f>
        <v>0</v>
      </c>
      <c r="H166" s="13">
        <f>'3. Isi Produksi'!V166</f>
        <v>0</v>
      </c>
      <c r="I166" s="13">
        <f>'3. Isi Produksi'!W166</f>
        <v>0</v>
      </c>
    </row>
    <row r="167" spans="1:9" x14ac:dyDescent="0.2">
      <c r="A167" s="25" t="s">
        <v>129</v>
      </c>
      <c r="B167" s="25" t="s">
        <v>143</v>
      </c>
      <c r="C167" s="25">
        <v>342</v>
      </c>
      <c r="D167" s="25" t="s">
        <v>55</v>
      </c>
      <c r="E167" s="25" t="s">
        <v>31</v>
      </c>
      <c r="F167" s="25">
        <v>201808</v>
      </c>
      <c r="G167" s="13">
        <f>'3. Isi Produksi'!U167</f>
        <v>0</v>
      </c>
      <c r="H167" s="13">
        <f>'3. Isi Produksi'!V167</f>
        <v>0</v>
      </c>
      <c r="I167" s="13">
        <f>'3. Isi Produksi'!W167</f>
        <v>0</v>
      </c>
    </row>
    <row r="168" spans="1:9" x14ac:dyDescent="0.2">
      <c r="A168" s="25" t="s">
        <v>129</v>
      </c>
      <c r="B168" s="25" t="s">
        <v>143</v>
      </c>
      <c r="C168" s="25">
        <v>342</v>
      </c>
      <c r="D168" s="25" t="s">
        <v>55</v>
      </c>
      <c r="E168" s="25" t="s">
        <v>31</v>
      </c>
      <c r="F168" s="25">
        <v>201809</v>
      </c>
      <c r="G168" s="13">
        <f>'3. Isi Produksi'!U168</f>
        <v>0</v>
      </c>
      <c r="H168" s="13">
        <f>'3. Isi Produksi'!V168</f>
        <v>0</v>
      </c>
      <c r="I168" s="13">
        <f>'3. Isi Produksi'!W168</f>
        <v>0</v>
      </c>
    </row>
    <row r="169" spans="1:9" x14ac:dyDescent="0.2">
      <c r="A169" s="25" t="s">
        <v>129</v>
      </c>
      <c r="B169" s="25" t="s">
        <v>143</v>
      </c>
      <c r="C169" s="25">
        <v>342</v>
      </c>
      <c r="D169" s="25" t="s">
        <v>55</v>
      </c>
      <c r="E169" s="25" t="s">
        <v>31</v>
      </c>
      <c r="F169" s="25">
        <v>201810</v>
      </c>
      <c r="G169" s="13">
        <f>'3. Isi Produksi'!U169</f>
        <v>0</v>
      </c>
      <c r="H169" s="13">
        <f>'3. Isi Produksi'!V169</f>
        <v>0</v>
      </c>
      <c r="I169" s="13">
        <f>'3. Isi Produksi'!W169</f>
        <v>0</v>
      </c>
    </row>
    <row r="170" spans="1:9" x14ac:dyDescent="0.2">
      <c r="A170" s="25" t="s">
        <v>129</v>
      </c>
      <c r="B170" s="25" t="s">
        <v>143</v>
      </c>
      <c r="C170" s="25">
        <v>342</v>
      </c>
      <c r="D170" s="25" t="s">
        <v>55</v>
      </c>
      <c r="E170" s="25" t="s">
        <v>31</v>
      </c>
      <c r="F170" s="25">
        <v>201811</v>
      </c>
      <c r="G170" s="13">
        <f>'3. Isi Produksi'!U170</f>
        <v>0</v>
      </c>
      <c r="H170" s="13">
        <f>'3. Isi Produksi'!V170</f>
        <v>0</v>
      </c>
      <c r="I170" s="13">
        <f>'3. Isi Produksi'!W170</f>
        <v>0</v>
      </c>
    </row>
    <row r="171" spans="1:9" x14ac:dyDescent="0.2">
      <c r="A171" s="25" t="s">
        <v>129</v>
      </c>
      <c r="B171" s="25" t="s">
        <v>143</v>
      </c>
      <c r="C171" s="25">
        <v>342</v>
      </c>
      <c r="D171" s="25" t="s">
        <v>55</v>
      </c>
      <c r="E171" s="25" t="s">
        <v>31</v>
      </c>
      <c r="F171" s="25">
        <v>201812</v>
      </c>
      <c r="G171" s="13">
        <f>'3. Isi Produksi'!U171</f>
        <v>0</v>
      </c>
      <c r="H171" s="13">
        <f>'3. Isi Produksi'!V171</f>
        <v>0</v>
      </c>
      <c r="I171" s="13">
        <f>'3. Isi Produksi'!W171</f>
        <v>0</v>
      </c>
    </row>
  </sheetData>
  <autoFilter ref="A3:I17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T87"/>
  <sheetViews>
    <sheetView workbookViewId="0">
      <pane xSplit="2" ySplit="8" topLeftCell="AF9" activePane="bottomRight" state="frozen"/>
      <selection pane="topRight" activeCell="B1" sqref="B1"/>
      <selection pane="bottomLeft" activeCell="A8" sqref="A8"/>
      <selection pane="bottomRight" activeCell="AF26" sqref="AF26"/>
    </sheetView>
  </sheetViews>
  <sheetFormatPr defaultColWidth="9" defaultRowHeight="12" outlineLevelCol="1" x14ac:dyDescent="0.2"/>
  <cols>
    <col min="1" max="1" width="11.1640625" bestFit="1" customWidth="1"/>
    <col min="2" max="2" width="32.1640625" customWidth="1"/>
    <col min="3" max="3" width="23.1640625" customWidth="1" outlineLevel="1"/>
    <col min="4" max="4" width="19.1640625" customWidth="1" outlineLevel="1"/>
    <col min="5" max="5" width="25.1640625" bestFit="1" customWidth="1"/>
    <col min="6" max="6" width="20.6640625" customWidth="1" outlineLevel="1"/>
    <col min="7" max="7" width="19.1640625" customWidth="1" outlineLevel="1"/>
    <col min="8" max="8" width="23.33203125" bestFit="1" customWidth="1"/>
    <col min="9" max="9" width="20.83203125" customWidth="1" outlineLevel="1"/>
    <col min="10" max="10" width="19.1640625" customWidth="1" outlineLevel="1"/>
    <col min="11" max="11" width="23.5" bestFit="1" customWidth="1"/>
    <col min="12" max="12" width="20.5" customWidth="1" outlineLevel="1"/>
    <col min="13" max="13" width="19.1640625" customWidth="1" outlineLevel="1"/>
    <col min="14" max="14" width="23.1640625" bestFit="1" customWidth="1"/>
    <col min="15" max="15" width="17.5" customWidth="1" outlineLevel="1"/>
    <col min="16" max="16" width="19.1640625" customWidth="1" outlineLevel="1"/>
    <col min="17" max="17" width="17.5" customWidth="1"/>
    <col min="18" max="18" width="17.5" customWidth="1" outlineLevel="1"/>
    <col min="19" max="19" width="19.1640625" customWidth="1" outlineLevel="1"/>
    <col min="20" max="20" width="19.6640625" bestFit="1" customWidth="1"/>
    <col min="21" max="21" width="28.5" customWidth="1" outlineLevel="1"/>
    <col min="22" max="22" width="19.1640625" customWidth="1" outlineLevel="1"/>
    <col min="23" max="23" width="31.1640625" bestFit="1" customWidth="1"/>
    <col min="24" max="24" width="28.5" customWidth="1" outlineLevel="1"/>
    <col min="25" max="25" width="19.1640625" customWidth="1" outlineLevel="1"/>
    <col min="26" max="26" width="31.1640625" bestFit="1" customWidth="1"/>
    <col min="27" max="27" width="18" customWidth="1" outlineLevel="1"/>
    <col min="28" max="28" width="19.1640625" customWidth="1" outlineLevel="1"/>
    <col min="29" max="29" width="20.6640625" bestFit="1" customWidth="1"/>
    <col min="30" max="30" width="21.33203125" customWidth="1" outlineLevel="1"/>
    <col min="31" max="31" width="19.1640625" customWidth="1" outlineLevel="1"/>
    <col min="32" max="32" width="24" bestFit="1" customWidth="1"/>
    <col min="33" max="33" width="20.6640625" customWidth="1" outlineLevel="1"/>
    <col min="34" max="34" width="19.1640625" customWidth="1" outlineLevel="1"/>
    <col min="35" max="35" width="23.33203125" bestFit="1" customWidth="1"/>
    <col min="36" max="36" width="17.5" customWidth="1" outlineLevel="1"/>
    <col min="37" max="37" width="19.1640625" customWidth="1" outlineLevel="1"/>
    <col min="38" max="38" width="18.6640625" bestFit="1" customWidth="1"/>
    <col min="39" max="39" width="17.83203125" customWidth="1" outlineLevel="1"/>
    <col min="40" max="40" width="19.1640625" customWidth="1" outlineLevel="1"/>
    <col min="41" max="41" width="20.5" bestFit="1" customWidth="1"/>
    <col min="42" max="42" width="22.5" customWidth="1" outlineLevel="1"/>
    <col min="43" max="43" width="19.1640625" customWidth="1" outlineLevel="1"/>
    <col min="44" max="44" width="25.1640625" bestFit="1" customWidth="1"/>
    <col min="45" max="45" width="10.83203125" customWidth="1"/>
    <col min="46" max="46" width="19.33203125" bestFit="1" customWidth="1"/>
    <col min="47" max="47" width="21.1640625" bestFit="1" customWidth="1"/>
    <col min="48" max="48" width="17" bestFit="1" customWidth="1"/>
    <col min="49" max="49" width="19.33203125" bestFit="1" customWidth="1"/>
    <col min="50" max="50" width="21.1640625" bestFit="1" customWidth="1"/>
    <col min="51" max="51" width="15.1640625" bestFit="1" customWidth="1"/>
    <col min="52" max="52" width="19.33203125" bestFit="1" customWidth="1"/>
    <col min="53" max="53" width="21.1640625" bestFit="1" customWidth="1"/>
    <col min="54" max="54" width="15.33203125" bestFit="1" customWidth="1"/>
    <col min="55" max="56" width="21.1640625" bestFit="1" customWidth="1"/>
    <col min="57" max="57" width="23.83203125" bestFit="1" customWidth="1"/>
    <col min="58" max="58" width="19.33203125" bestFit="1" customWidth="1"/>
    <col min="59" max="59" width="21.1640625" bestFit="1" customWidth="1"/>
    <col min="60" max="60" width="16.83203125" bestFit="1" customWidth="1"/>
    <col min="61" max="61" width="22.1640625" bestFit="1" customWidth="1"/>
    <col min="62" max="62" width="21.1640625" bestFit="1" customWidth="1"/>
    <col min="63" max="63" width="25" bestFit="1" customWidth="1"/>
    <col min="64" max="64" width="22" bestFit="1" customWidth="1"/>
    <col min="65" max="65" width="21.1640625" bestFit="1" customWidth="1"/>
    <col min="66" max="66" width="24.83203125" bestFit="1" customWidth="1"/>
    <col min="67" max="67" width="20.83203125" bestFit="1" customWidth="1"/>
    <col min="68" max="68" width="21.1640625" bestFit="1" customWidth="1"/>
    <col min="69" max="69" width="23.1640625" bestFit="1" customWidth="1"/>
    <col min="70" max="70" width="19.33203125" bestFit="1" customWidth="1"/>
    <col min="71" max="71" width="21.1640625" bestFit="1" customWidth="1"/>
    <col min="72" max="72" width="16.1640625" bestFit="1" customWidth="1"/>
    <col min="73" max="73" width="19.33203125" bestFit="1" customWidth="1"/>
    <col min="74" max="74" width="21.1640625" bestFit="1" customWidth="1"/>
    <col min="75" max="75" width="17.83203125" bestFit="1" customWidth="1"/>
    <col min="76" max="76" width="19.33203125" bestFit="1" customWidth="1"/>
    <col min="77" max="77" width="21.1640625" bestFit="1" customWidth="1"/>
    <col min="78" max="78" width="17.1640625" bestFit="1" customWidth="1"/>
    <col min="79" max="79" width="19.33203125" bestFit="1" customWidth="1"/>
    <col min="80" max="80" width="21.1640625" bestFit="1" customWidth="1"/>
    <col min="81" max="81" width="18.1640625" bestFit="1" customWidth="1"/>
    <col min="82" max="82" width="19.33203125" bestFit="1" customWidth="1"/>
    <col min="83" max="83" width="21.1640625" bestFit="1" customWidth="1"/>
    <col min="84" max="84" width="15.1640625" bestFit="1" customWidth="1"/>
    <col min="85" max="85" width="19.33203125" bestFit="1" customWidth="1"/>
    <col min="86" max="86" width="21.1640625" bestFit="1" customWidth="1"/>
    <col min="87" max="87" width="16" bestFit="1" customWidth="1"/>
    <col min="88" max="88" width="20.83203125" bestFit="1" customWidth="1"/>
    <col min="89" max="89" width="21.1640625" bestFit="1" customWidth="1"/>
    <col min="90" max="90" width="23.1640625" bestFit="1" customWidth="1"/>
    <col min="91" max="91" width="19.33203125" bestFit="1" customWidth="1"/>
    <col min="92" max="92" width="21.1640625" bestFit="1" customWidth="1"/>
    <col min="93" max="93" width="16.83203125" bestFit="1" customWidth="1"/>
    <col min="94" max="94" width="21.33203125" bestFit="1" customWidth="1"/>
    <col min="95" max="95" width="21.1640625" bestFit="1" customWidth="1"/>
    <col min="96" max="96" width="24.1640625" bestFit="1" customWidth="1"/>
    <col min="97" max="97" width="19.33203125" bestFit="1" customWidth="1"/>
    <col min="98" max="98" width="21.1640625" bestFit="1" customWidth="1"/>
    <col min="99" max="99" width="17.83203125" bestFit="1" customWidth="1"/>
    <col min="100" max="100" width="19.33203125" bestFit="1" customWidth="1"/>
    <col min="101" max="101" width="21.1640625" bestFit="1" customWidth="1"/>
    <col min="102" max="102" width="17.1640625" bestFit="1" customWidth="1"/>
    <col min="103" max="103" width="19.33203125" bestFit="1" customWidth="1"/>
    <col min="104" max="104" width="21.1640625" bestFit="1" customWidth="1"/>
    <col min="105" max="105" width="20.33203125" bestFit="1" customWidth="1"/>
    <col min="106" max="106" width="22.1640625" bestFit="1" customWidth="1"/>
    <col min="107" max="107" width="21.1640625" bestFit="1" customWidth="1"/>
    <col min="108" max="108" width="24.83203125" bestFit="1" customWidth="1"/>
    <col min="109" max="109" width="19.33203125" bestFit="1" customWidth="1"/>
    <col min="110" max="110" width="21.1640625" bestFit="1" customWidth="1"/>
    <col min="111" max="111" width="15.1640625" bestFit="1" customWidth="1"/>
    <col min="112" max="112" width="19.33203125" bestFit="1" customWidth="1"/>
    <col min="113" max="113" width="21.1640625" bestFit="1" customWidth="1"/>
    <col min="114" max="114" width="20.1640625" bestFit="1" customWidth="1"/>
    <col min="115" max="115" width="19.33203125" bestFit="1" customWidth="1"/>
    <col min="116" max="116" width="21.1640625" bestFit="1" customWidth="1"/>
    <col min="117" max="117" width="17.83203125" bestFit="1" customWidth="1"/>
    <col min="118" max="118" width="20.83203125" bestFit="1" customWidth="1"/>
    <col min="119" max="119" width="21.1640625" bestFit="1" customWidth="1"/>
    <col min="120" max="120" width="23.1640625" bestFit="1" customWidth="1"/>
    <col min="121" max="121" width="19.33203125" bestFit="1" customWidth="1"/>
    <col min="122" max="122" width="21.1640625" bestFit="1" customWidth="1"/>
    <col min="123" max="123" width="16.33203125" bestFit="1" customWidth="1"/>
    <col min="124" max="124" width="19.33203125" bestFit="1" customWidth="1"/>
    <col min="125" max="125" width="21.1640625" bestFit="1" customWidth="1"/>
    <col min="126" max="126" width="20.1640625" bestFit="1" customWidth="1"/>
    <col min="127" max="127" width="19.33203125" bestFit="1" customWidth="1"/>
    <col min="128" max="128" width="21.1640625" bestFit="1" customWidth="1"/>
    <col min="129" max="129" width="18.1640625" bestFit="1" customWidth="1"/>
    <col min="130" max="130" width="19.33203125" bestFit="1" customWidth="1"/>
    <col min="131" max="131" width="21.1640625" bestFit="1" customWidth="1"/>
    <col min="132" max="132" width="21.83203125" bestFit="1" customWidth="1"/>
    <col min="133" max="133" width="25.33203125" bestFit="1" customWidth="1"/>
    <col min="134" max="134" width="23.1640625" bestFit="1" customWidth="1"/>
    <col min="135" max="135" width="28.1640625" bestFit="1" customWidth="1"/>
    <col min="136" max="136" width="19.33203125" bestFit="1" customWidth="1"/>
    <col min="137" max="137" width="21.1640625" bestFit="1" customWidth="1"/>
    <col min="138" max="138" width="16.1640625" bestFit="1" customWidth="1"/>
    <col min="139" max="139" width="19.33203125" bestFit="1" customWidth="1"/>
    <col min="140" max="140" width="21.1640625" bestFit="1" customWidth="1"/>
    <col min="141" max="141" width="16.83203125" bestFit="1" customWidth="1"/>
    <col min="142" max="142" width="19.33203125" bestFit="1" customWidth="1"/>
    <col min="143" max="143" width="21.1640625" bestFit="1" customWidth="1"/>
    <col min="144" max="144" width="20.83203125" bestFit="1" customWidth="1"/>
    <col min="145" max="145" width="20.33203125" bestFit="1" customWidth="1"/>
    <col min="146" max="146" width="21.1640625" bestFit="1" customWidth="1"/>
    <col min="147" max="147" width="23.1640625" bestFit="1" customWidth="1"/>
    <col min="148" max="149" width="21.1640625" bestFit="1" customWidth="1"/>
    <col min="150" max="150" width="24" bestFit="1" customWidth="1"/>
    <col min="151" max="151" width="25.1640625" bestFit="1" customWidth="1"/>
    <col min="152" max="152" width="23.1640625" bestFit="1" customWidth="1"/>
    <col min="153" max="153" width="28" bestFit="1" customWidth="1"/>
    <col min="154" max="154" width="27.1640625" bestFit="1" customWidth="1"/>
    <col min="155" max="155" width="25" bestFit="1" customWidth="1"/>
    <col min="156" max="156" width="30" bestFit="1" customWidth="1"/>
    <col min="157" max="157" width="26.83203125" bestFit="1" customWidth="1"/>
    <col min="158" max="158" width="24.83203125" bestFit="1" customWidth="1"/>
    <col min="159" max="159" width="29.33203125" bestFit="1" customWidth="1"/>
    <col min="160" max="160" width="25.1640625" bestFit="1" customWidth="1"/>
    <col min="161" max="161" width="23.1640625" bestFit="1" customWidth="1"/>
    <col min="162" max="162" width="28" bestFit="1" customWidth="1"/>
    <col min="163" max="163" width="25.33203125" bestFit="1" customWidth="1"/>
    <col min="164" max="164" width="23.1640625" bestFit="1" customWidth="1"/>
    <col min="165" max="165" width="28.1640625" bestFit="1" customWidth="1"/>
    <col min="166" max="166" width="28.33203125" bestFit="1" customWidth="1"/>
    <col min="167" max="167" width="26.1640625" bestFit="1" customWidth="1"/>
    <col min="168" max="168" width="31.1640625" bestFit="1" customWidth="1"/>
    <col min="169" max="169" width="28.1640625" bestFit="1" customWidth="1"/>
    <col min="170" max="170" width="26" bestFit="1" customWidth="1"/>
    <col min="171" max="171" width="30.83203125" bestFit="1" customWidth="1"/>
    <col min="172" max="172" width="26.83203125" bestFit="1" customWidth="1"/>
    <col min="173" max="173" width="24.33203125" bestFit="1" customWidth="1"/>
    <col min="174" max="174" width="29.1640625" bestFit="1" customWidth="1"/>
    <col min="175" max="175" width="30.83203125" bestFit="1" customWidth="1"/>
    <col min="176" max="176" width="28.33203125" bestFit="1" customWidth="1"/>
    <col min="177" max="177" width="33.1640625" bestFit="1" customWidth="1"/>
    <col min="178" max="178" width="22" bestFit="1" customWidth="1"/>
    <col min="179" max="179" width="21.1640625" bestFit="1" customWidth="1"/>
    <col min="180" max="180" width="24.83203125" bestFit="1" customWidth="1"/>
    <col min="181" max="181" width="22.33203125" bestFit="1" customWidth="1"/>
    <col min="182" max="182" width="21.1640625" bestFit="1" customWidth="1"/>
    <col min="183" max="183" width="25.1640625" bestFit="1" customWidth="1"/>
    <col min="184" max="184" width="19.33203125" bestFit="1" customWidth="1"/>
    <col min="185" max="186" width="21.1640625" bestFit="1" customWidth="1"/>
    <col min="187" max="187" width="19.33203125" bestFit="1" customWidth="1"/>
    <col min="188" max="188" width="21.1640625" bestFit="1" customWidth="1"/>
    <col min="189" max="189" width="20.33203125" bestFit="1" customWidth="1"/>
    <col min="190" max="190" width="19.33203125" bestFit="1" customWidth="1"/>
    <col min="191" max="191" width="21.1640625" bestFit="1" customWidth="1"/>
    <col min="192" max="192" width="19.1640625" bestFit="1" customWidth="1"/>
    <col min="193" max="193" width="19.33203125" bestFit="1" customWidth="1"/>
    <col min="194" max="194" width="21.1640625" bestFit="1" customWidth="1"/>
    <col min="195" max="195" width="21" bestFit="1" customWidth="1"/>
    <col min="196" max="196" width="19.33203125" bestFit="1" customWidth="1"/>
    <col min="197" max="197" width="21.1640625" bestFit="1" customWidth="1"/>
    <col min="198" max="198" width="17.1640625" bestFit="1" customWidth="1"/>
    <col min="199" max="199" width="19.33203125" bestFit="1" customWidth="1"/>
    <col min="200" max="200" width="21.1640625" bestFit="1" customWidth="1"/>
    <col min="201" max="201" width="20" bestFit="1" customWidth="1"/>
    <col min="202" max="202" width="19.33203125" bestFit="1" customWidth="1"/>
    <col min="203" max="203" width="21.1640625" bestFit="1" customWidth="1"/>
    <col min="204" max="204" width="20.83203125" bestFit="1" customWidth="1"/>
    <col min="205" max="205" width="19.33203125" bestFit="1" customWidth="1"/>
    <col min="206" max="206" width="21.1640625" bestFit="1" customWidth="1"/>
    <col min="207" max="207" width="16.83203125" bestFit="1" customWidth="1"/>
    <col min="208" max="208" width="19.33203125" bestFit="1" customWidth="1"/>
    <col min="209" max="209" width="21.1640625" bestFit="1" customWidth="1"/>
    <col min="210" max="210" width="19.1640625" bestFit="1" customWidth="1"/>
    <col min="211" max="211" width="19.33203125" bestFit="1" customWidth="1"/>
    <col min="212" max="212" width="21.1640625" bestFit="1" customWidth="1"/>
    <col min="213" max="213" width="18.83203125" bestFit="1" customWidth="1"/>
    <col min="214" max="214" width="19.33203125" bestFit="1" customWidth="1"/>
    <col min="215" max="215" width="21.1640625" bestFit="1" customWidth="1"/>
    <col min="216" max="216" width="18" bestFit="1" customWidth="1"/>
    <col min="217" max="217" width="19.33203125" bestFit="1" customWidth="1"/>
    <col min="218" max="218" width="21.1640625" bestFit="1" customWidth="1"/>
    <col min="219" max="219" width="17.33203125" bestFit="1" customWidth="1"/>
    <col min="220" max="220" width="20.1640625" bestFit="1" customWidth="1"/>
    <col min="221" max="221" width="21.1640625" bestFit="1" customWidth="1"/>
    <col min="222" max="222" width="23" bestFit="1" customWidth="1"/>
    <col min="223" max="224" width="21.1640625" bestFit="1" customWidth="1"/>
    <col min="225" max="225" width="24" bestFit="1" customWidth="1"/>
    <col min="226" max="226" width="20.1640625" bestFit="1" customWidth="1"/>
    <col min="227" max="227" width="21.1640625" bestFit="1" customWidth="1"/>
    <col min="228" max="228" width="23" bestFit="1" customWidth="1"/>
    <col min="229" max="229" width="19.33203125" bestFit="1" customWidth="1"/>
    <col min="230" max="230" width="21.1640625" bestFit="1" customWidth="1"/>
    <col min="231" max="231" width="21" bestFit="1" customWidth="1"/>
    <col min="232" max="232" width="19.33203125" bestFit="1" customWidth="1"/>
    <col min="233" max="233" width="21.1640625" bestFit="1" customWidth="1"/>
    <col min="234" max="234" width="19" bestFit="1" customWidth="1"/>
    <col min="235" max="235" width="19.33203125" bestFit="1" customWidth="1"/>
    <col min="236" max="236" width="21.1640625" bestFit="1" customWidth="1"/>
    <col min="237" max="237" width="15.1640625" bestFit="1" customWidth="1"/>
    <col min="238" max="238" width="19.33203125" bestFit="1" customWidth="1"/>
    <col min="239" max="239" width="21.1640625" bestFit="1" customWidth="1"/>
    <col min="240" max="240" width="19.83203125" bestFit="1" customWidth="1"/>
    <col min="241" max="241" width="19.33203125" bestFit="1" customWidth="1"/>
    <col min="242" max="242" width="21.1640625" bestFit="1" customWidth="1"/>
    <col min="243" max="243" width="15.1640625" bestFit="1" customWidth="1"/>
    <col min="244" max="244" width="21.83203125" bestFit="1" customWidth="1"/>
    <col min="245" max="245" width="21.1640625" bestFit="1" customWidth="1"/>
    <col min="246" max="246" width="24.33203125" bestFit="1" customWidth="1"/>
    <col min="247" max="247" width="19.33203125" bestFit="1" customWidth="1"/>
    <col min="248" max="248" width="21.1640625" bestFit="1" customWidth="1"/>
    <col min="249" max="249" width="19.1640625" bestFit="1" customWidth="1"/>
    <col min="250" max="250" width="19.33203125" bestFit="1" customWidth="1"/>
    <col min="251" max="251" width="21.1640625" bestFit="1" customWidth="1"/>
    <col min="252" max="252" width="16.1640625" bestFit="1" customWidth="1"/>
    <col min="253" max="253" width="19.33203125" bestFit="1" customWidth="1"/>
    <col min="254" max="254" width="21.1640625" bestFit="1" customWidth="1"/>
    <col min="255" max="255" width="18" bestFit="1" customWidth="1"/>
    <col min="256" max="256" width="19.33203125" bestFit="1" customWidth="1"/>
    <col min="257" max="257" width="21.1640625" bestFit="1" customWidth="1"/>
    <col min="258" max="258" width="17.33203125" bestFit="1" customWidth="1"/>
    <col min="259" max="259" width="36.83203125" bestFit="1" customWidth="1"/>
    <col min="260" max="260" width="34.33203125" bestFit="1" customWidth="1"/>
    <col min="261" max="261" width="39.1640625" bestFit="1" customWidth="1"/>
    <col min="262" max="262" width="19.33203125" bestFit="1" customWidth="1"/>
    <col min="263" max="263" width="21.1640625" bestFit="1" customWidth="1"/>
    <col min="264" max="264" width="20.83203125" bestFit="1" customWidth="1"/>
    <col min="265" max="265" width="28" bestFit="1" customWidth="1"/>
    <col min="266" max="266" width="25.83203125" bestFit="1" customWidth="1"/>
    <col min="267" max="267" width="30.83203125" bestFit="1" customWidth="1"/>
    <col min="268" max="268" width="22.83203125" bestFit="1" customWidth="1"/>
    <col min="269" max="269" width="21.1640625" bestFit="1" customWidth="1"/>
    <col min="270" max="270" width="25.1640625" bestFit="1" customWidth="1"/>
    <col min="271" max="271" width="29" bestFit="1" customWidth="1"/>
    <col min="272" max="272" width="26.83203125" bestFit="1" customWidth="1"/>
    <col min="273" max="273" width="31.83203125" bestFit="1" customWidth="1"/>
    <col min="274" max="274" width="27" bestFit="1" customWidth="1"/>
    <col min="275" max="275" width="24.83203125" bestFit="1" customWidth="1"/>
    <col min="276" max="276" width="29.83203125" bestFit="1" customWidth="1"/>
    <col min="277" max="277" width="26.83203125" bestFit="1" customWidth="1"/>
    <col min="278" max="278" width="24.83203125" bestFit="1" customWidth="1"/>
    <col min="279" max="279" width="29.33203125" bestFit="1" customWidth="1"/>
    <col min="280" max="280" width="26.33203125" bestFit="1" customWidth="1"/>
    <col min="281" max="281" width="24.1640625" bestFit="1" customWidth="1"/>
    <col min="282" max="282" width="29.1640625" bestFit="1" customWidth="1"/>
    <col min="283" max="283" width="23.1640625" bestFit="1" customWidth="1"/>
    <col min="284" max="284" width="21.1640625" bestFit="1" customWidth="1"/>
    <col min="285" max="285" width="26.1640625" bestFit="1" customWidth="1"/>
    <col min="286" max="286" width="26" bestFit="1" customWidth="1"/>
    <col min="287" max="287" width="23.83203125" bestFit="1" customWidth="1"/>
    <col min="288" max="288" width="28.83203125" bestFit="1" customWidth="1"/>
    <col min="289" max="289" width="24.83203125" bestFit="1" customWidth="1"/>
    <col min="290" max="290" width="22.33203125" bestFit="1" customWidth="1"/>
    <col min="291" max="291" width="27.1640625" bestFit="1" customWidth="1"/>
    <col min="292" max="292" width="19.33203125" bestFit="1" customWidth="1"/>
    <col min="293" max="293" width="21.1640625" bestFit="1" customWidth="1"/>
    <col min="294" max="294" width="17.1640625" bestFit="1" customWidth="1"/>
    <col min="295" max="295" width="19.33203125" bestFit="1" customWidth="1"/>
    <col min="296" max="296" width="21.1640625" bestFit="1" customWidth="1"/>
    <col min="297" max="297" width="19.83203125" bestFit="1" customWidth="1"/>
    <col min="298" max="298" width="19.33203125" bestFit="1" customWidth="1"/>
    <col min="299" max="299" width="21.1640625" bestFit="1" customWidth="1"/>
    <col min="300" max="300" width="17" bestFit="1" customWidth="1"/>
    <col min="301" max="301" width="19.33203125" bestFit="1" customWidth="1"/>
    <col min="302" max="302" width="21.1640625" bestFit="1" customWidth="1"/>
    <col min="303" max="303" width="22" bestFit="1" customWidth="1"/>
    <col min="304" max="304" width="19.33203125" bestFit="1" customWidth="1"/>
    <col min="305" max="305" width="21.1640625" bestFit="1" customWidth="1"/>
    <col min="306" max="306" width="17.33203125" bestFit="1" customWidth="1"/>
    <col min="307" max="308" width="21.1640625" bestFit="1" customWidth="1"/>
    <col min="309" max="309" width="23.83203125" bestFit="1" customWidth="1"/>
    <col min="310" max="311" width="21.1640625" bestFit="1" customWidth="1"/>
    <col min="312" max="312" width="24" bestFit="1" customWidth="1"/>
    <col min="313" max="313" width="19.33203125" bestFit="1" customWidth="1"/>
    <col min="314" max="314" width="21.1640625" bestFit="1" customWidth="1"/>
    <col min="315" max="315" width="18.33203125" bestFit="1" customWidth="1"/>
    <col min="316" max="316" width="27" bestFit="1" customWidth="1"/>
    <col min="317" max="317" width="24.83203125" bestFit="1" customWidth="1"/>
    <col min="318" max="318" width="29.83203125" bestFit="1" customWidth="1"/>
    <col min="319" max="319" width="24.1640625" bestFit="1" customWidth="1"/>
    <col min="320" max="320" width="22" bestFit="1" customWidth="1"/>
    <col min="321" max="321" width="26.83203125" bestFit="1" customWidth="1"/>
    <col min="322" max="322" width="22.1640625" bestFit="1" customWidth="1"/>
    <col min="323" max="323" width="21.1640625" bestFit="1" customWidth="1"/>
    <col min="324" max="324" width="25" bestFit="1" customWidth="1"/>
    <col min="325" max="325" width="19.33203125" bestFit="1" customWidth="1"/>
    <col min="326" max="326" width="21.1640625" bestFit="1" customWidth="1"/>
    <col min="327" max="327" width="20.1640625" bestFit="1" customWidth="1"/>
    <col min="328" max="328" width="28.33203125" bestFit="1" customWidth="1"/>
    <col min="329" max="329" width="26.1640625" bestFit="1" customWidth="1"/>
    <col min="330" max="330" width="31.1640625" bestFit="1" customWidth="1"/>
    <col min="331" max="331" width="28.33203125" bestFit="1" customWidth="1"/>
    <col min="332" max="332" width="26.1640625" bestFit="1" customWidth="1"/>
    <col min="333" max="333" width="31.1640625" bestFit="1" customWidth="1"/>
    <col min="334" max="334" width="25.1640625" bestFit="1" customWidth="1"/>
    <col min="335" max="335" width="23" bestFit="1" customWidth="1"/>
    <col min="336" max="336" width="27.83203125" bestFit="1" customWidth="1"/>
    <col min="337" max="337" width="19.33203125" bestFit="1" customWidth="1"/>
    <col min="338" max="338" width="21.1640625" bestFit="1" customWidth="1"/>
    <col min="339" max="339" width="20.83203125" bestFit="1" customWidth="1"/>
    <col min="340" max="340" width="19.33203125" bestFit="1" customWidth="1"/>
    <col min="341" max="341" width="21.1640625" bestFit="1" customWidth="1"/>
    <col min="342" max="342" width="16.83203125" bestFit="1" customWidth="1"/>
    <col min="343" max="343" width="20.83203125" bestFit="1" customWidth="1"/>
    <col min="344" max="344" width="21.1640625" bestFit="1" customWidth="1"/>
    <col min="345" max="345" width="23.33203125" bestFit="1" customWidth="1"/>
    <col min="346" max="346" width="19.33203125" bestFit="1" customWidth="1"/>
    <col min="347" max="347" width="21.1640625" bestFit="1" customWidth="1"/>
    <col min="348" max="348" width="20.1640625" bestFit="1" customWidth="1"/>
    <col min="349" max="349" width="19.33203125" bestFit="1" customWidth="1"/>
    <col min="350" max="350" width="21.1640625" bestFit="1" customWidth="1"/>
    <col min="351" max="351" width="18" bestFit="1" customWidth="1"/>
    <col min="352" max="352" width="19.33203125" bestFit="1" customWidth="1"/>
    <col min="353" max="353" width="21.1640625" bestFit="1" customWidth="1"/>
    <col min="354" max="354" width="22.1640625" bestFit="1" customWidth="1"/>
    <col min="355" max="355" width="26.83203125" bestFit="1" customWidth="1"/>
    <col min="356" max="356" width="24.83203125" bestFit="1" customWidth="1"/>
    <col min="357" max="357" width="29.33203125" bestFit="1" customWidth="1"/>
    <col min="358" max="358" width="19.33203125" bestFit="1" customWidth="1"/>
    <col min="359" max="359" width="21.1640625" bestFit="1" customWidth="1"/>
    <col min="360" max="360" width="22.1640625" bestFit="1" customWidth="1"/>
    <col min="361" max="362" width="21.1640625" bestFit="1" customWidth="1"/>
    <col min="363" max="363" width="23.83203125" bestFit="1" customWidth="1"/>
    <col min="364" max="364" width="29.33203125" bestFit="1" customWidth="1"/>
    <col min="365" max="365" width="27.1640625" bestFit="1" customWidth="1"/>
    <col min="366" max="366" width="32.1640625" bestFit="1" customWidth="1"/>
    <col min="367" max="367" width="27.83203125" bestFit="1" customWidth="1"/>
    <col min="368" max="368" width="25.33203125" bestFit="1" customWidth="1"/>
    <col min="369" max="369" width="30.33203125" bestFit="1" customWidth="1"/>
    <col min="370" max="370" width="19.33203125" bestFit="1" customWidth="1"/>
    <col min="371" max="371" width="21.1640625" bestFit="1" customWidth="1"/>
    <col min="372" max="372" width="16" bestFit="1" customWidth="1"/>
    <col min="373" max="373" width="19.33203125" bestFit="1" customWidth="1"/>
    <col min="374" max="374" width="21.1640625" bestFit="1" customWidth="1"/>
    <col min="375" max="375" width="20.83203125" bestFit="1" customWidth="1"/>
    <col min="376" max="376" width="19.33203125" bestFit="1" customWidth="1"/>
    <col min="377" max="377" width="21.1640625" bestFit="1" customWidth="1"/>
    <col min="378" max="378" width="20.83203125" bestFit="1" customWidth="1"/>
    <col min="379" max="379" width="23" bestFit="1" customWidth="1"/>
    <col min="380" max="380" width="21.1640625" bestFit="1" customWidth="1"/>
    <col min="381" max="381" width="25.83203125" bestFit="1" customWidth="1"/>
    <col min="382" max="382" width="25" bestFit="1" customWidth="1"/>
    <col min="383" max="383" width="22.83203125" bestFit="1" customWidth="1"/>
    <col min="384" max="384" width="27.83203125" bestFit="1" customWidth="1"/>
    <col min="385" max="385" width="24.83203125" bestFit="1" customWidth="1"/>
    <col min="386" max="386" width="22.33203125" bestFit="1" customWidth="1"/>
    <col min="387" max="387" width="27.1640625" bestFit="1" customWidth="1"/>
    <col min="388" max="388" width="23" bestFit="1" customWidth="1"/>
    <col min="389" max="389" width="21.1640625" bestFit="1" customWidth="1"/>
    <col min="390" max="390" width="25.83203125" bestFit="1" customWidth="1"/>
    <col min="391" max="391" width="23.1640625" bestFit="1" customWidth="1"/>
    <col min="392" max="392" width="21.1640625" bestFit="1" customWidth="1"/>
    <col min="393" max="393" width="26" bestFit="1" customWidth="1"/>
    <col min="394" max="394" width="19.33203125" bestFit="1" customWidth="1"/>
    <col min="395" max="395" width="21.1640625" bestFit="1" customWidth="1"/>
    <col min="396" max="396" width="17.83203125" bestFit="1" customWidth="1"/>
    <col min="397" max="397" width="19.33203125" bestFit="1" customWidth="1"/>
    <col min="398" max="398" width="21.1640625" bestFit="1" customWidth="1"/>
    <col min="399" max="399" width="18.83203125" bestFit="1" customWidth="1"/>
    <col min="400" max="400" width="19.33203125" bestFit="1" customWidth="1"/>
    <col min="401" max="401" width="21.1640625" bestFit="1" customWidth="1"/>
    <col min="402" max="402" width="20.83203125" bestFit="1" customWidth="1"/>
    <col min="403" max="403" width="19.33203125" bestFit="1" customWidth="1"/>
    <col min="404" max="404" width="21.1640625" bestFit="1" customWidth="1"/>
    <col min="405" max="405" width="15.83203125" bestFit="1" customWidth="1"/>
    <col min="406" max="406" width="19.33203125" bestFit="1" customWidth="1"/>
    <col min="407" max="407" width="21.1640625" bestFit="1" customWidth="1"/>
    <col min="408" max="408" width="17.83203125" bestFit="1" customWidth="1"/>
    <col min="409" max="409" width="19.33203125" bestFit="1" customWidth="1"/>
    <col min="410" max="410" width="21.1640625" bestFit="1" customWidth="1"/>
    <col min="411" max="411" width="18.83203125" bestFit="1" customWidth="1"/>
    <col min="412" max="412" width="24" bestFit="1" customWidth="1"/>
    <col min="413" max="413" width="21.83203125" bestFit="1" customWidth="1"/>
    <col min="414" max="414" width="26.83203125" bestFit="1" customWidth="1"/>
    <col min="415" max="415" width="19.33203125" bestFit="1" customWidth="1"/>
    <col min="416" max="416" width="21.1640625" bestFit="1" customWidth="1"/>
    <col min="417" max="417" width="17" bestFit="1" customWidth="1"/>
    <col min="418" max="418" width="21.83203125" bestFit="1" customWidth="1"/>
    <col min="419" max="419" width="21.1640625" bestFit="1" customWidth="1"/>
    <col min="420" max="420" width="24.33203125" bestFit="1" customWidth="1"/>
    <col min="421" max="421" width="23.1640625" bestFit="1" customWidth="1"/>
    <col min="422" max="422" width="21.1640625" bestFit="1" customWidth="1"/>
    <col min="423" max="423" width="26.1640625" bestFit="1" customWidth="1"/>
    <col min="424" max="424" width="21.83203125" bestFit="1" customWidth="1"/>
    <col min="425" max="425" width="21.1640625" bestFit="1" customWidth="1"/>
    <col min="426" max="426" width="24.33203125" bestFit="1" customWidth="1"/>
    <col min="427" max="427" width="22" bestFit="1" customWidth="1"/>
    <col min="428" max="428" width="21.1640625" bestFit="1" customWidth="1"/>
    <col min="429" max="429" width="24.83203125" bestFit="1" customWidth="1"/>
    <col min="430" max="430" width="19.33203125" bestFit="1" customWidth="1"/>
    <col min="431" max="431" width="21.1640625" bestFit="1" customWidth="1"/>
    <col min="432" max="432" width="20.1640625" bestFit="1" customWidth="1"/>
    <col min="433" max="433" width="19.33203125" bestFit="1" customWidth="1"/>
    <col min="434" max="434" width="21.1640625" bestFit="1" customWidth="1"/>
    <col min="435" max="435" width="15.83203125" bestFit="1" customWidth="1"/>
    <col min="436" max="436" width="19.83203125" bestFit="1" customWidth="1"/>
    <col min="437" max="437" width="21.1640625" bestFit="1" customWidth="1"/>
    <col min="438" max="438" width="22.1640625" bestFit="1" customWidth="1"/>
    <col min="439" max="439" width="19.83203125" bestFit="1" customWidth="1"/>
    <col min="440" max="440" width="21.1640625" bestFit="1" customWidth="1"/>
    <col min="441" max="441" width="22.33203125" bestFit="1" customWidth="1"/>
    <col min="442" max="442" width="19.33203125" bestFit="1" customWidth="1"/>
    <col min="443" max="443" width="21.1640625" bestFit="1" customWidth="1"/>
    <col min="444" max="444" width="18" bestFit="1" customWidth="1"/>
    <col min="445" max="445" width="19.33203125" bestFit="1" customWidth="1"/>
    <col min="446" max="446" width="21.1640625" bestFit="1" customWidth="1"/>
    <col min="447" max="447" width="20.33203125" bestFit="1" customWidth="1"/>
    <col min="448" max="448" width="19.33203125" bestFit="1" customWidth="1"/>
    <col min="449" max="449" width="21.1640625" bestFit="1" customWidth="1"/>
    <col min="450" max="450" width="19.1640625" bestFit="1" customWidth="1"/>
    <col min="451" max="451" width="21.33203125" bestFit="1" customWidth="1"/>
    <col min="452" max="452" width="21.1640625" bestFit="1" customWidth="1"/>
    <col min="453" max="453" width="24.1640625" bestFit="1" customWidth="1"/>
    <col min="454" max="454" width="19.83203125" bestFit="1" customWidth="1"/>
    <col min="455" max="455" width="21.1640625" bestFit="1" customWidth="1"/>
    <col min="456" max="456" width="22.1640625" bestFit="1" customWidth="1"/>
    <col min="457" max="457" width="19.33203125" bestFit="1" customWidth="1"/>
    <col min="458" max="458" width="21.1640625" bestFit="1" customWidth="1"/>
    <col min="459" max="459" width="17.33203125" bestFit="1" customWidth="1"/>
    <col min="460" max="460" width="19.33203125" bestFit="1" customWidth="1"/>
    <col min="461" max="461" width="21.1640625" bestFit="1" customWidth="1"/>
    <col min="462" max="462" width="17.83203125" bestFit="1" customWidth="1"/>
    <col min="463" max="463" width="19.33203125" bestFit="1" customWidth="1"/>
    <col min="464" max="464" width="21.1640625" bestFit="1" customWidth="1"/>
    <col min="465" max="465" width="18.1640625" bestFit="1" customWidth="1"/>
    <col min="466" max="466" width="19.33203125" bestFit="1" customWidth="1"/>
    <col min="467" max="467" width="21.1640625" bestFit="1" customWidth="1"/>
    <col min="468" max="468" width="18.83203125" bestFit="1" customWidth="1"/>
    <col min="469" max="469" width="27.1640625" bestFit="1" customWidth="1"/>
    <col min="470" max="470" width="25" bestFit="1" customWidth="1"/>
    <col min="471" max="471" width="30" bestFit="1" customWidth="1"/>
    <col min="472" max="472" width="23.1640625" bestFit="1" customWidth="1"/>
    <col min="473" max="473" width="21.1640625" bestFit="1" customWidth="1"/>
    <col min="474" max="474" width="26.1640625" bestFit="1" customWidth="1"/>
    <col min="475" max="475" width="25.83203125" bestFit="1" customWidth="1"/>
    <col min="476" max="476" width="23.83203125" bestFit="1" customWidth="1"/>
    <col min="477" max="477" width="28.33203125" bestFit="1" customWidth="1"/>
    <col min="478" max="478" width="32.1640625" bestFit="1" customWidth="1"/>
    <col min="479" max="479" width="30.1640625" bestFit="1" customWidth="1"/>
    <col min="480" max="480" width="35" bestFit="1" customWidth="1"/>
    <col min="481" max="481" width="19.33203125" bestFit="1" customWidth="1"/>
    <col min="482" max="482" width="21.1640625" bestFit="1" customWidth="1"/>
    <col min="483" max="483" width="18.33203125" bestFit="1" customWidth="1"/>
    <col min="484" max="484" width="25.1640625" bestFit="1" customWidth="1"/>
    <col min="485" max="485" width="23.1640625" bestFit="1" customWidth="1"/>
    <col min="486" max="486" width="28" bestFit="1" customWidth="1"/>
    <col min="487" max="487" width="28.1640625" bestFit="1" customWidth="1"/>
    <col min="488" max="488" width="26" bestFit="1" customWidth="1"/>
    <col min="489" max="489" width="30.83203125" bestFit="1" customWidth="1"/>
    <col min="490" max="490" width="19.33203125" bestFit="1" customWidth="1"/>
    <col min="491" max="491" width="21.1640625" bestFit="1" customWidth="1"/>
    <col min="492" max="492" width="18.33203125" bestFit="1" customWidth="1"/>
    <col min="493" max="493" width="23.83203125" bestFit="1" customWidth="1"/>
    <col min="494" max="494" width="21.83203125" bestFit="1" customWidth="1"/>
    <col min="495" max="495" width="26.33203125" bestFit="1" customWidth="1"/>
    <col min="496" max="496" width="22.1640625" bestFit="1" customWidth="1"/>
    <col min="497" max="497" width="21.1640625" bestFit="1" customWidth="1"/>
    <col min="498" max="498" width="25" bestFit="1" customWidth="1"/>
    <col min="499" max="499" width="25.33203125" bestFit="1" customWidth="1"/>
    <col min="500" max="500" width="23.1640625" bestFit="1" customWidth="1"/>
    <col min="501" max="501" width="28.1640625" bestFit="1" customWidth="1"/>
    <col min="502" max="502" width="19.33203125" bestFit="1" customWidth="1"/>
    <col min="503" max="503" width="21.1640625" bestFit="1" customWidth="1"/>
    <col min="504" max="504" width="21.83203125" bestFit="1" customWidth="1"/>
    <col min="505" max="505" width="25.1640625" bestFit="1" customWidth="1"/>
    <col min="506" max="506" width="23.1640625" bestFit="1" customWidth="1"/>
    <col min="507" max="507" width="28" bestFit="1" customWidth="1"/>
    <col min="508" max="508" width="25.1640625" bestFit="1" customWidth="1"/>
    <col min="509" max="509" width="23.1640625" bestFit="1" customWidth="1"/>
    <col min="510" max="510" width="28" bestFit="1" customWidth="1"/>
    <col min="511" max="511" width="19.33203125" bestFit="1" customWidth="1"/>
    <col min="512" max="512" width="21.1640625" bestFit="1" customWidth="1"/>
    <col min="513" max="513" width="22.1640625" bestFit="1" customWidth="1"/>
    <col min="514" max="514" width="27.83203125" bestFit="1" customWidth="1"/>
    <col min="515" max="515" width="25.33203125" bestFit="1" customWidth="1"/>
    <col min="516" max="516" width="30.33203125" bestFit="1" customWidth="1"/>
    <col min="517" max="517" width="19.33203125" bestFit="1" customWidth="1"/>
    <col min="518" max="518" width="21.1640625" bestFit="1" customWidth="1"/>
    <col min="519" max="519" width="15.83203125" bestFit="1" customWidth="1"/>
    <col min="520" max="520" width="19.33203125" bestFit="1" customWidth="1"/>
    <col min="521" max="521" width="21.1640625" bestFit="1" customWidth="1"/>
    <col min="522" max="522" width="16.83203125" bestFit="1" customWidth="1"/>
    <col min="523" max="523" width="19.33203125" bestFit="1" customWidth="1"/>
    <col min="524" max="524" width="21.1640625" bestFit="1" customWidth="1"/>
    <col min="525" max="525" width="19" bestFit="1" customWidth="1"/>
    <col min="526" max="526" width="19.33203125" bestFit="1" customWidth="1"/>
    <col min="527" max="527" width="21.1640625" bestFit="1" customWidth="1"/>
    <col min="528" max="528" width="17.83203125" bestFit="1" customWidth="1"/>
    <col min="529" max="529" width="19.33203125" bestFit="1" customWidth="1"/>
    <col min="530" max="530" width="21.1640625" bestFit="1" customWidth="1"/>
    <col min="531" max="531" width="21.83203125" bestFit="1" customWidth="1"/>
    <col min="532" max="532" width="19.33203125" bestFit="1" customWidth="1"/>
    <col min="533" max="533" width="21.1640625" bestFit="1" customWidth="1"/>
    <col min="534" max="534" width="20.1640625" bestFit="1" customWidth="1"/>
    <col min="535" max="535" width="19.33203125" bestFit="1" customWidth="1"/>
    <col min="536" max="536" width="21.1640625" bestFit="1" customWidth="1"/>
    <col min="537" max="537" width="19.1640625" bestFit="1" customWidth="1"/>
    <col min="538" max="538" width="19.33203125" bestFit="1" customWidth="1"/>
    <col min="539" max="539" width="21.1640625" bestFit="1" customWidth="1"/>
    <col min="540" max="540" width="16.83203125" bestFit="1" customWidth="1"/>
    <col min="541" max="541" width="19.33203125" bestFit="1" customWidth="1"/>
    <col min="542" max="542" width="21.1640625" bestFit="1" customWidth="1"/>
    <col min="543" max="543" width="17.1640625" bestFit="1" customWidth="1"/>
    <col min="544" max="544" width="19.33203125" bestFit="1" customWidth="1"/>
    <col min="545" max="545" width="21.1640625" bestFit="1" customWidth="1"/>
    <col min="546" max="546" width="20" bestFit="1" customWidth="1"/>
    <col min="547" max="547" width="25.83203125" bestFit="1" customWidth="1"/>
    <col min="548" max="548" width="23.33203125" bestFit="1" customWidth="1"/>
    <col min="549" max="549" width="28.1640625" bestFit="1" customWidth="1"/>
    <col min="550" max="550" width="27.83203125" bestFit="1" customWidth="1"/>
    <col min="551" max="551" width="25.33203125" bestFit="1" customWidth="1"/>
    <col min="552" max="552" width="30.33203125" bestFit="1" customWidth="1"/>
    <col min="553" max="553" width="24" bestFit="1" customWidth="1"/>
    <col min="554" max="554" width="21.83203125" bestFit="1" customWidth="1"/>
    <col min="555" max="555" width="26.83203125" bestFit="1" customWidth="1"/>
    <col min="556" max="556" width="19.33203125" bestFit="1" customWidth="1"/>
    <col min="557" max="558" width="21.1640625" bestFit="1" customWidth="1"/>
    <col min="559" max="559" width="19.33203125" bestFit="1" customWidth="1"/>
    <col min="560" max="560" width="21.1640625" bestFit="1" customWidth="1"/>
    <col min="561" max="561" width="20.33203125" bestFit="1" customWidth="1"/>
    <col min="562" max="562" width="24.33203125" bestFit="1" customWidth="1"/>
    <col min="563" max="563" width="22.1640625" bestFit="1" customWidth="1"/>
    <col min="564" max="564" width="27.1640625" bestFit="1" customWidth="1"/>
    <col min="565" max="565" width="19.83203125" bestFit="1" customWidth="1"/>
    <col min="566" max="566" width="21.1640625" bestFit="1" customWidth="1"/>
    <col min="567" max="567" width="22.1640625" bestFit="1" customWidth="1"/>
    <col min="568" max="568" width="20.33203125" bestFit="1" customWidth="1"/>
    <col min="569" max="569" width="21.1640625" bestFit="1" customWidth="1"/>
    <col min="570" max="570" width="23.1640625" bestFit="1" customWidth="1"/>
    <col min="571" max="571" width="19.83203125" bestFit="1" customWidth="1"/>
    <col min="572" max="572" width="21.1640625" bestFit="1" customWidth="1"/>
    <col min="573" max="573" width="22.1640625" bestFit="1" customWidth="1"/>
    <col min="574" max="574" width="19.33203125" bestFit="1" customWidth="1"/>
    <col min="575" max="575" width="21.1640625" bestFit="1" customWidth="1"/>
    <col min="576" max="576" width="16" bestFit="1" customWidth="1"/>
    <col min="577" max="577" width="19.83203125" bestFit="1" customWidth="1"/>
    <col min="578" max="578" width="21.1640625" bestFit="1" customWidth="1"/>
    <col min="579" max="579" width="22.33203125" bestFit="1" customWidth="1"/>
    <col min="580" max="581" width="21.1640625" bestFit="1" customWidth="1"/>
    <col min="582" max="582" width="24" bestFit="1" customWidth="1"/>
    <col min="583" max="583" width="23.1640625" bestFit="1" customWidth="1"/>
    <col min="584" max="584" width="21.1640625" bestFit="1" customWidth="1"/>
    <col min="585" max="585" width="26" bestFit="1" customWidth="1"/>
    <col min="586" max="586" width="19.33203125" bestFit="1" customWidth="1"/>
    <col min="587" max="587" width="21.1640625" bestFit="1" customWidth="1"/>
    <col min="588" max="588" width="22.1640625" bestFit="1" customWidth="1"/>
    <col min="589" max="589" width="26" bestFit="1" customWidth="1"/>
    <col min="590" max="590" width="23.83203125" bestFit="1" customWidth="1"/>
    <col min="591" max="591" width="28.83203125" bestFit="1" customWidth="1"/>
    <col min="592" max="592" width="19.33203125" bestFit="1" customWidth="1"/>
    <col min="593" max="593" width="21.1640625" bestFit="1" customWidth="1"/>
    <col min="594" max="594" width="16.83203125" bestFit="1" customWidth="1"/>
    <col min="595" max="595" width="19.33203125" bestFit="1" customWidth="1"/>
    <col min="596" max="596" width="21.1640625" bestFit="1" customWidth="1"/>
    <col min="597" max="597" width="22.1640625" bestFit="1" customWidth="1"/>
    <col min="598" max="598" width="19.33203125" bestFit="1" customWidth="1"/>
    <col min="599" max="599" width="21.1640625" bestFit="1" customWidth="1"/>
    <col min="600" max="600" width="19" bestFit="1" customWidth="1"/>
    <col min="601" max="601" width="19.33203125" bestFit="1" customWidth="1"/>
    <col min="602" max="602" width="21.1640625" bestFit="1" customWidth="1"/>
    <col min="603" max="603" width="18" bestFit="1" customWidth="1"/>
    <col min="604" max="604" width="19.33203125" bestFit="1" customWidth="1"/>
    <col min="605" max="605" width="21.1640625" bestFit="1" customWidth="1"/>
    <col min="606" max="606" width="17" bestFit="1" customWidth="1"/>
    <col min="607" max="607" width="19.33203125" bestFit="1" customWidth="1"/>
    <col min="608" max="608" width="21.1640625" bestFit="1" customWidth="1"/>
    <col min="609" max="609" width="16.83203125" bestFit="1" customWidth="1"/>
    <col min="610" max="610" width="19.33203125" bestFit="1" customWidth="1"/>
    <col min="611" max="611" width="21.1640625" bestFit="1" customWidth="1"/>
    <col min="612" max="612" width="19" bestFit="1" customWidth="1"/>
    <col min="613" max="613" width="19.33203125" bestFit="1" customWidth="1"/>
    <col min="614" max="614" width="21.1640625" bestFit="1" customWidth="1"/>
    <col min="615" max="615" width="16.83203125" bestFit="1" customWidth="1"/>
    <col min="616" max="616" width="19.33203125" bestFit="1" customWidth="1"/>
    <col min="617" max="617" width="21.1640625" bestFit="1" customWidth="1"/>
    <col min="618" max="618" width="14.33203125" bestFit="1" customWidth="1"/>
    <col min="619" max="619" width="19.33203125" bestFit="1" customWidth="1"/>
    <col min="620" max="620" width="21.1640625" bestFit="1" customWidth="1"/>
    <col min="621" max="621" width="20.83203125" bestFit="1" customWidth="1"/>
    <col min="622" max="622" width="20.1640625" bestFit="1" customWidth="1"/>
    <col min="623" max="623" width="21.1640625" bestFit="1" customWidth="1"/>
    <col min="624" max="624" width="22.83203125" bestFit="1" customWidth="1"/>
    <col min="625" max="625" width="19.33203125" bestFit="1" customWidth="1"/>
    <col min="626" max="626" width="21.1640625" bestFit="1" customWidth="1"/>
    <col min="627" max="627" width="21" bestFit="1" customWidth="1"/>
    <col min="628" max="628" width="19.33203125" bestFit="1" customWidth="1"/>
    <col min="629" max="629" width="21.1640625" bestFit="1" customWidth="1"/>
    <col min="630" max="630" width="19.83203125" bestFit="1" customWidth="1"/>
    <col min="631" max="631" width="19.33203125" bestFit="1" customWidth="1"/>
    <col min="632" max="632" width="21.1640625" bestFit="1" customWidth="1"/>
    <col min="633" max="633" width="19.1640625" bestFit="1" customWidth="1"/>
    <col min="634" max="634" width="27" bestFit="1" customWidth="1"/>
    <col min="635" max="635" width="24.83203125" bestFit="1" customWidth="1"/>
    <col min="636" max="636" width="29.83203125" bestFit="1" customWidth="1"/>
    <col min="637" max="637" width="27.33203125" bestFit="1" customWidth="1"/>
    <col min="638" max="638" width="25.1640625" bestFit="1" customWidth="1"/>
    <col min="639" max="639" width="30.1640625" bestFit="1" customWidth="1"/>
    <col min="640" max="640" width="35.83203125" bestFit="1" customWidth="1"/>
    <col min="641" max="641" width="33.83203125" bestFit="1" customWidth="1"/>
    <col min="642" max="642" width="38.83203125" bestFit="1" customWidth="1"/>
    <col min="643" max="643" width="34" bestFit="1" customWidth="1"/>
    <col min="644" max="644" width="31.83203125" bestFit="1" customWidth="1"/>
    <col min="645" max="645" width="36.83203125" bestFit="1" customWidth="1"/>
    <col min="646" max="646" width="19.33203125" bestFit="1" customWidth="1"/>
    <col min="647" max="647" width="21.1640625" bestFit="1" customWidth="1"/>
    <col min="648" max="648" width="17.83203125" bestFit="1" customWidth="1"/>
    <col min="649" max="649" width="22" bestFit="1" customWidth="1"/>
    <col min="650" max="650" width="21.1640625" bestFit="1" customWidth="1"/>
    <col min="651" max="651" width="24.83203125" bestFit="1" customWidth="1"/>
    <col min="652" max="652" width="28.83203125" bestFit="1" customWidth="1"/>
    <col min="653" max="653" width="26.33203125" bestFit="1" customWidth="1"/>
    <col min="654" max="654" width="31.1640625" bestFit="1" customWidth="1"/>
    <col min="655" max="655" width="25.1640625" bestFit="1" customWidth="1"/>
    <col min="656" max="656" width="23.1640625" bestFit="1" customWidth="1"/>
    <col min="657" max="657" width="28" bestFit="1" customWidth="1"/>
    <col min="658" max="658" width="19.33203125" bestFit="1" customWidth="1"/>
    <col min="659" max="659" width="21.1640625" bestFit="1" customWidth="1"/>
    <col min="660" max="660" width="20.83203125" bestFit="1" customWidth="1"/>
    <col min="661" max="661" width="22.1640625" bestFit="1" customWidth="1"/>
    <col min="662" max="662" width="21.1640625" bestFit="1" customWidth="1"/>
    <col min="663" max="663" width="25" bestFit="1" customWidth="1"/>
    <col min="664" max="664" width="19.33203125" bestFit="1" customWidth="1"/>
    <col min="665" max="666" width="21.1640625" bestFit="1" customWidth="1"/>
    <col min="667" max="667" width="20" bestFit="1" customWidth="1"/>
    <col min="668" max="668" width="21.1640625" bestFit="1" customWidth="1"/>
    <col min="669" max="669" width="22.83203125" bestFit="1" customWidth="1"/>
    <col min="670" max="670" width="21.83203125" bestFit="1" customWidth="1"/>
    <col min="671" max="671" width="21.1640625" bestFit="1" customWidth="1"/>
    <col min="672" max="672" width="24.1640625" bestFit="1" customWidth="1"/>
    <col min="673" max="673" width="30.33203125" bestFit="1" customWidth="1"/>
    <col min="674" max="674" width="28.1640625" bestFit="1" customWidth="1"/>
    <col min="675" max="675" width="33.1640625" bestFit="1" customWidth="1"/>
    <col min="676" max="676" width="19.33203125" bestFit="1" customWidth="1"/>
    <col min="677" max="677" width="21.1640625" bestFit="1" customWidth="1"/>
    <col min="678" max="678" width="16.1640625" bestFit="1" customWidth="1"/>
    <col min="679" max="679" width="23.83203125" bestFit="1" customWidth="1"/>
    <col min="680" max="680" width="21.83203125" bestFit="1" customWidth="1"/>
    <col min="681" max="681" width="26.33203125" bestFit="1" customWidth="1"/>
    <col min="682" max="682" width="19.33203125" bestFit="1" customWidth="1"/>
    <col min="683" max="683" width="21.1640625" bestFit="1" customWidth="1"/>
    <col min="684" max="684" width="19.1640625" bestFit="1" customWidth="1"/>
    <col min="685" max="685" width="22.83203125" bestFit="1" customWidth="1"/>
    <col min="686" max="686" width="21.1640625" bestFit="1" customWidth="1"/>
    <col min="687" max="687" width="25.33203125" bestFit="1" customWidth="1"/>
    <col min="688" max="688" width="19.33203125" bestFit="1" customWidth="1"/>
    <col min="689" max="689" width="21.1640625" bestFit="1" customWidth="1"/>
    <col min="690" max="690" width="15.83203125" bestFit="1" customWidth="1"/>
    <col min="691" max="691" width="19.33203125" bestFit="1" customWidth="1"/>
    <col min="692" max="692" width="21.1640625" bestFit="1" customWidth="1"/>
    <col min="693" max="693" width="20.1640625" bestFit="1" customWidth="1"/>
    <col min="694" max="694" width="19.33203125" bestFit="1" customWidth="1"/>
    <col min="695" max="695" width="21.1640625" bestFit="1" customWidth="1"/>
    <col min="696" max="696" width="14.1640625" bestFit="1" customWidth="1"/>
    <col min="697" max="697" width="27" bestFit="1" customWidth="1"/>
    <col min="698" max="698" width="24.83203125" bestFit="1" customWidth="1"/>
    <col min="699" max="699" width="29.83203125" bestFit="1" customWidth="1"/>
    <col min="700" max="700" width="29.1640625" bestFit="1" customWidth="1"/>
    <col min="701" max="701" width="27.1640625" bestFit="1" customWidth="1"/>
    <col min="702" max="702" width="32" bestFit="1" customWidth="1"/>
    <col min="703" max="703" width="19.83203125" bestFit="1" customWidth="1"/>
    <col min="704" max="704" width="21.1640625" bestFit="1" customWidth="1"/>
    <col min="705" max="705" width="22.33203125" bestFit="1" customWidth="1"/>
    <col min="706" max="706" width="19.33203125" bestFit="1" customWidth="1"/>
    <col min="707" max="707" width="21.1640625" bestFit="1" customWidth="1"/>
    <col min="708" max="708" width="21" bestFit="1" customWidth="1"/>
    <col min="709" max="709" width="19.33203125" bestFit="1" customWidth="1"/>
    <col min="710" max="710" width="21.1640625" bestFit="1" customWidth="1"/>
    <col min="711" max="711" width="20.1640625" bestFit="1" customWidth="1"/>
    <col min="712" max="712" width="28.83203125" bestFit="1" customWidth="1"/>
    <col min="713" max="713" width="26.33203125" bestFit="1" customWidth="1"/>
    <col min="714" max="714" width="31.1640625" bestFit="1" customWidth="1"/>
    <col min="715" max="715" width="35.1640625" bestFit="1" customWidth="1"/>
    <col min="716" max="716" width="33" bestFit="1" customWidth="1"/>
    <col min="717" max="717" width="37.83203125" bestFit="1" customWidth="1"/>
    <col min="718" max="718" width="19.33203125" bestFit="1" customWidth="1"/>
    <col min="719" max="719" width="21.1640625" bestFit="1" customWidth="1"/>
    <col min="720" max="720" width="21.83203125" bestFit="1" customWidth="1"/>
    <col min="721" max="721" width="20.33203125" bestFit="1" customWidth="1"/>
    <col min="722" max="722" width="21.1640625" bestFit="1" customWidth="1"/>
    <col min="723" max="723" width="23.1640625" bestFit="1" customWidth="1"/>
    <col min="724" max="724" width="22.1640625" bestFit="1" customWidth="1"/>
    <col min="725" max="725" width="21.1640625" bestFit="1" customWidth="1"/>
    <col min="726" max="726" width="25" bestFit="1" customWidth="1"/>
    <col min="727" max="727" width="19.33203125" bestFit="1" customWidth="1"/>
    <col min="728" max="728" width="21.1640625" bestFit="1" customWidth="1"/>
    <col min="729" max="729" width="14.83203125" bestFit="1" customWidth="1"/>
    <col min="730" max="730" width="19.33203125" bestFit="1" customWidth="1"/>
    <col min="731" max="731" width="21.1640625" bestFit="1" customWidth="1"/>
    <col min="732" max="733" width="19.33203125" bestFit="1" customWidth="1"/>
    <col min="734" max="734" width="21.1640625" bestFit="1" customWidth="1"/>
    <col min="735" max="735" width="18.33203125" bestFit="1" customWidth="1"/>
    <col min="736" max="736" width="25.1640625" bestFit="1" customWidth="1"/>
    <col min="737" max="737" width="23" bestFit="1" customWidth="1"/>
    <col min="738" max="738" width="27.83203125" bestFit="1" customWidth="1"/>
    <col min="739" max="739" width="19.33203125" bestFit="1" customWidth="1"/>
    <col min="740" max="740" width="21.1640625" bestFit="1" customWidth="1"/>
    <col min="741" max="741" width="20.83203125" bestFit="1" customWidth="1"/>
    <col min="742" max="742" width="19.33203125" bestFit="1" customWidth="1"/>
    <col min="743" max="743" width="21.1640625" bestFit="1" customWidth="1"/>
    <col min="744" max="744" width="15.1640625" bestFit="1" customWidth="1"/>
    <col min="745" max="745" width="19.33203125" bestFit="1" customWidth="1"/>
    <col min="746" max="747" width="21.1640625" bestFit="1" customWidth="1"/>
    <col min="748" max="748" width="20.83203125" bestFit="1" customWidth="1"/>
    <col min="749" max="749" width="21.1640625" bestFit="1" customWidth="1"/>
    <col min="750" max="750" width="23.33203125" bestFit="1" customWidth="1"/>
    <col min="751" max="751" width="20.83203125" bestFit="1" customWidth="1"/>
    <col min="752" max="752" width="21.1640625" bestFit="1" customWidth="1"/>
    <col min="753" max="753" width="23.1640625" bestFit="1" customWidth="1"/>
    <col min="754" max="754" width="22.33203125" bestFit="1" customWidth="1"/>
    <col min="755" max="755" width="21.1640625" bestFit="1" customWidth="1"/>
    <col min="756" max="756" width="25.1640625" bestFit="1" customWidth="1"/>
    <col min="757" max="757" width="21.33203125" bestFit="1" customWidth="1"/>
    <col min="758" max="758" width="21.1640625" bestFit="1" customWidth="1"/>
    <col min="759" max="759" width="24.1640625" bestFit="1" customWidth="1"/>
    <col min="760" max="760" width="19.33203125" bestFit="1" customWidth="1"/>
    <col min="761" max="761" width="21.1640625" bestFit="1" customWidth="1"/>
    <col min="762" max="762" width="17.83203125" bestFit="1" customWidth="1"/>
    <col min="763" max="763" width="19.83203125" bestFit="1" customWidth="1"/>
    <col min="764" max="764" width="21.1640625" bestFit="1" customWidth="1"/>
    <col min="765" max="765" width="22.1640625" bestFit="1" customWidth="1"/>
    <col min="766" max="766" width="20.33203125" bestFit="1" customWidth="1"/>
    <col min="767" max="767" width="21.1640625" bestFit="1" customWidth="1"/>
    <col min="768" max="768" width="23.1640625" bestFit="1" customWidth="1"/>
    <col min="769" max="769" width="20.1640625" bestFit="1" customWidth="1"/>
    <col min="770" max="770" width="21.1640625" bestFit="1" customWidth="1"/>
    <col min="771" max="771" width="23" bestFit="1" customWidth="1"/>
    <col min="772" max="772" width="19.33203125" bestFit="1" customWidth="1"/>
    <col min="773" max="773" width="21.1640625" bestFit="1" customWidth="1"/>
    <col min="774" max="774" width="21.83203125" bestFit="1" customWidth="1"/>
    <col min="775" max="775" width="19.33203125" bestFit="1" customWidth="1"/>
    <col min="776" max="777" width="21.1640625" bestFit="1" customWidth="1"/>
    <col min="778" max="778" width="22.1640625" bestFit="1" customWidth="1"/>
    <col min="779" max="779" width="21.1640625" bestFit="1" customWidth="1"/>
    <col min="780" max="780" width="25" bestFit="1" customWidth="1"/>
    <col min="781" max="781" width="19.33203125" bestFit="1" customWidth="1"/>
    <col min="782" max="782" width="21.1640625" bestFit="1" customWidth="1"/>
    <col min="783" max="784" width="19.33203125" bestFit="1" customWidth="1"/>
    <col min="785" max="785" width="21.1640625" bestFit="1" customWidth="1"/>
    <col min="786" max="786" width="21.83203125" bestFit="1" customWidth="1"/>
    <col min="787" max="787" width="19.83203125" bestFit="1" customWidth="1"/>
    <col min="788" max="788" width="21.1640625" bestFit="1" customWidth="1"/>
    <col min="789" max="789" width="22.1640625" bestFit="1" customWidth="1"/>
    <col min="790" max="790" width="19.33203125" bestFit="1" customWidth="1"/>
    <col min="791" max="791" width="21.1640625" bestFit="1" customWidth="1"/>
    <col min="792" max="792" width="20.83203125" bestFit="1" customWidth="1"/>
    <col min="793" max="793" width="19.33203125" bestFit="1" customWidth="1"/>
    <col min="794" max="794" width="21.1640625" bestFit="1" customWidth="1"/>
    <col min="795" max="795" width="22" bestFit="1" customWidth="1"/>
    <col min="796" max="796" width="19.33203125" bestFit="1" customWidth="1"/>
    <col min="797" max="797" width="21.1640625" bestFit="1" customWidth="1"/>
    <col min="798" max="798" width="17.83203125" bestFit="1" customWidth="1"/>
    <col min="799" max="799" width="19.33203125" bestFit="1" customWidth="1"/>
    <col min="800" max="800" width="21.1640625" bestFit="1" customWidth="1"/>
    <col min="801" max="801" width="18.33203125" bestFit="1" customWidth="1"/>
    <col min="802" max="802" width="19.33203125" bestFit="1" customWidth="1"/>
    <col min="803" max="803" width="21.1640625" bestFit="1" customWidth="1"/>
    <col min="804" max="804" width="19.1640625" bestFit="1" customWidth="1"/>
    <col min="805" max="805" width="19.33203125" bestFit="1" customWidth="1"/>
    <col min="806" max="806" width="21.1640625" bestFit="1" customWidth="1"/>
    <col min="807" max="807" width="19.1640625" bestFit="1" customWidth="1"/>
    <col min="808" max="808" width="19.33203125" bestFit="1" customWidth="1"/>
    <col min="809" max="809" width="21.1640625" bestFit="1" customWidth="1"/>
    <col min="810" max="810" width="16" bestFit="1" customWidth="1"/>
    <col min="811" max="811" width="20.1640625" bestFit="1" customWidth="1"/>
    <col min="812" max="812" width="21.1640625" bestFit="1" customWidth="1"/>
    <col min="813" max="813" width="22.83203125" bestFit="1" customWidth="1"/>
    <col min="814" max="814" width="19.33203125" bestFit="1" customWidth="1"/>
    <col min="815" max="815" width="21.1640625" bestFit="1" customWidth="1"/>
    <col min="816" max="816" width="18.83203125" bestFit="1" customWidth="1"/>
    <col min="817" max="817" width="19.33203125" bestFit="1" customWidth="1"/>
    <col min="818" max="818" width="21.1640625" bestFit="1" customWidth="1"/>
    <col min="819" max="819" width="17.83203125" bestFit="1" customWidth="1"/>
    <col min="820" max="820" width="19.33203125" bestFit="1" customWidth="1"/>
    <col min="821" max="821" width="21.1640625" bestFit="1" customWidth="1"/>
    <col min="822" max="822" width="20.33203125" bestFit="1" customWidth="1"/>
    <col min="823" max="823" width="27.83203125" bestFit="1" customWidth="1"/>
    <col min="824" max="824" width="25.33203125" bestFit="1" customWidth="1"/>
    <col min="825" max="825" width="30.33203125" bestFit="1" customWidth="1"/>
    <col min="826" max="826" width="27.83203125" bestFit="1" customWidth="1"/>
    <col min="827" max="827" width="25.33203125" bestFit="1" customWidth="1"/>
    <col min="828" max="828" width="30.33203125" bestFit="1" customWidth="1"/>
    <col min="829" max="829" width="19.33203125" bestFit="1" customWidth="1"/>
    <col min="830" max="830" width="21.1640625" bestFit="1" customWidth="1"/>
    <col min="831" max="831" width="17.83203125" bestFit="1" customWidth="1"/>
    <col min="832" max="832" width="24.83203125" bestFit="1" customWidth="1"/>
    <col min="833" max="833" width="22.83203125" bestFit="1" customWidth="1"/>
    <col min="834" max="834" width="27.33203125" bestFit="1" customWidth="1"/>
    <col min="835" max="835" width="19.33203125" bestFit="1" customWidth="1"/>
    <col min="836" max="836" width="21.1640625" bestFit="1" customWidth="1"/>
    <col min="837" max="837" width="18.83203125" bestFit="1" customWidth="1"/>
    <col min="838" max="838" width="19.33203125" bestFit="1" customWidth="1"/>
    <col min="839" max="839" width="21.1640625" bestFit="1" customWidth="1"/>
    <col min="840" max="840" width="14.1640625" bestFit="1" customWidth="1"/>
    <col min="841" max="841" width="27" bestFit="1" customWidth="1"/>
    <col min="842" max="842" width="24.83203125" bestFit="1" customWidth="1"/>
    <col min="843" max="843" width="29.83203125" bestFit="1" customWidth="1"/>
    <col min="844" max="844" width="19.33203125" bestFit="1" customWidth="1"/>
    <col min="845" max="845" width="21.1640625" bestFit="1" customWidth="1"/>
    <col min="846" max="846" width="19.1640625" bestFit="1" customWidth="1"/>
    <col min="847" max="847" width="19.33203125" bestFit="1" customWidth="1"/>
    <col min="848" max="848" width="21.1640625" bestFit="1" customWidth="1"/>
    <col min="849" max="849" width="13.83203125" bestFit="1" customWidth="1"/>
    <col min="850" max="850" width="19.33203125" bestFit="1" customWidth="1"/>
    <col min="851" max="851" width="21.1640625" bestFit="1" customWidth="1"/>
    <col min="852" max="852" width="20.1640625" bestFit="1" customWidth="1"/>
    <col min="853" max="853" width="19.33203125" bestFit="1" customWidth="1"/>
    <col min="854" max="854" width="21.1640625" bestFit="1" customWidth="1"/>
    <col min="855" max="855" width="15.33203125" bestFit="1" customWidth="1"/>
    <col min="856" max="856" width="20" bestFit="1" customWidth="1"/>
    <col min="857" max="857" width="21.1640625" bestFit="1" customWidth="1"/>
    <col min="858" max="858" width="22.83203125" bestFit="1" customWidth="1"/>
    <col min="859" max="859" width="19.33203125" bestFit="1" customWidth="1"/>
    <col min="860" max="860" width="21.1640625" bestFit="1" customWidth="1"/>
    <col min="861" max="861" width="19.1640625" bestFit="1" customWidth="1"/>
    <col min="862" max="862" width="19.33203125" bestFit="1" customWidth="1"/>
    <col min="863" max="863" width="21.1640625" bestFit="1" customWidth="1"/>
    <col min="864" max="864" width="15.83203125" bestFit="1" customWidth="1"/>
    <col min="865" max="865" width="19.33203125" bestFit="1" customWidth="1"/>
    <col min="866" max="866" width="21.1640625" bestFit="1" customWidth="1"/>
    <col min="867" max="867" width="18.1640625" bestFit="1" customWidth="1"/>
    <col min="868" max="868" width="19.33203125" bestFit="1" customWidth="1"/>
    <col min="869" max="869" width="21.1640625" bestFit="1" customWidth="1"/>
    <col min="870" max="870" width="21" bestFit="1" customWidth="1"/>
    <col min="871" max="871" width="19.33203125" bestFit="1" customWidth="1"/>
    <col min="872" max="872" width="21.1640625" bestFit="1" customWidth="1"/>
    <col min="873" max="873" width="17.83203125" bestFit="1" customWidth="1"/>
    <col min="874" max="874" width="19.33203125" bestFit="1" customWidth="1"/>
    <col min="875" max="875" width="21.1640625" bestFit="1" customWidth="1"/>
    <col min="876" max="876" width="16.1640625" bestFit="1" customWidth="1"/>
    <col min="877" max="877" width="21.83203125" bestFit="1" customWidth="1"/>
    <col min="878" max="878" width="21.1640625" bestFit="1" customWidth="1"/>
    <col min="879" max="879" width="24.33203125" bestFit="1" customWidth="1"/>
    <col min="880" max="880" width="19.33203125" bestFit="1" customWidth="1"/>
    <col min="881" max="881" width="21.1640625" bestFit="1" customWidth="1"/>
    <col min="882" max="882" width="18.83203125" bestFit="1" customWidth="1"/>
    <col min="883" max="883" width="19.33203125" bestFit="1" customWidth="1"/>
    <col min="884" max="884" width="21.1640625" bestFit="1" customWidth="1"/>
    <col min="885" max="885" width="18.1640625" bestFit="1" customWidth="1"/>
    <col min="886" max="886" width="23.83203125" bestFit="1" customWidth="1"/>
    <col min="887" max="887" width="21.83203125" bestFit="1" customWidth="1"/>
    <col min="888" max="888" width="26.33203125" bestFit="1" customWidth="1"/>
    <col min="889" max="889" width="19.33203125" bestFit="1" customWidth="1"/>
    <col min="890" max="890" width="21.1640625" bestFit="1" customWidth="1"/>
    <col min="891" max="891" width="17.83203125" bestFit="1" customWidth="1"/>
    <col min="892" max="892" width="19.33203125" bestFit="1" customWidth="1"/>
    <col min="893" max="893" width="21.1640625" bestFit="1" customWidth="1"/>
    <col min="894" max="894" width="18" bestFit="1" customWidth="1"/>
    <col min="895" max="895" width="19.33203125" bestFit="1" customWidth="1"/>
    <col min="896" max="896" width="21.1640625" bestFit="1" customWidth="1"/>
    <col min="897" max="897" width="20" bestFit="1" customWidth="1"/>
    <col min="898" max="898" width="19.33203125" bestFit="1" customWidth="1"/>
    <col min="899" max="899" width="21.1640625" bestFit="1" customWidth="1"/>
    <col min="900" max="900" width="20.33203125" bestFit="1" customWidth="1"/>
    <col min="901" max="901" width="19.33203125" bestFit="1" customWidth="1"/>
    <col min="902" max="903" width="21.1640625" bestFit="1" customWidth="1"/>
    <col min="904" max="904" width="20.83203125" bestFit="1" customWidth="1"/>
    <col min="905" max="905" width="21.1640625" bestFit="1" customWidth="1"/>
    <col min="906" max="906" width="23.1640625" bestFit="1" customWidth="1"/>
    <col min="907" max="907" width="26" bestFit="1" customWidth="1"/>
    <col min="908" max="908" width="23.83203125" bestFit="1" customWidth="1"/>
    <col min="909" max="909" width="28.83203125" bestFit="1" customWidth="1"/>
    <col min="910" max="910" width="22.1640625" bestFit="1" customWidth="1"/>
    <col min="911" max="911" width="21.1640625" bestFit="1" customWidth="1"/>
    <col min="912" max="912" width="24.83203125" bestFit="1" customWidth="1"/>
    <col min="913" max="913" width="20.83203125" bestFit="1" customWidth="1"/>
    <col min="914" max="914" width="21.1640625" bestFit="1" customWidth="1"/>
    <col min="915" max="915" width="23.1640625" bestFit="1" customWidth="1"/>
    <col min="916" max="916" width="19.33203125" bestFit="1" customWidth="1"/>
    <col min="917" max="917" width="21.1640625" bestFit="1" customWidth="1"/>
    <col min="918" max="918" width="20" bestFit="1" customWidth="1"/>
    <col min="919" max="919" width="23.83203125" bestFit="1" customWidth="1"/>
    <col min="920" max="920" width="21.83203125" bestFit="1" customWidth="1"/>
    <col min="921" max="921" width="26.33203125" bestFit="1" customWidth="1"/>
    <col min="922" max="922" width="19.33203125" bestFit="1" customWidth="1"/>
    <col min="923" max="923" width="21.1640625" bestFit="1" customWidth="1"/>
    <col min="924" max="924" width="20.83203125" bestFit="1" customWidth="1"/>
    <col min="925" max="925" width="19.33203125" bestFit="1" customWidth="1"/>
    <col min="926" max="926" width="21.1640625" bestFit="1" customWidth="1"/>
    <col min="927" max="927" width="19" bestFit="1" customWidth="1"/>
    <col min="928" max="928" width="19.33203125" bestFit="1" customWidth="1"/>
    <col min="929" max="929" width="21.1640625" bestFit="1" customWidth="1"/>
    <col min="930" max="930" width="17.33203125" bestFit="1" customWidth="1"/>
    <col min="931" max="931" width="19.33203125" bestFit="1" customWidth="1"/>
    <col min="932" max="932" width="21.1640625" bestFit="1" customWidth="1"/>
    <col min="933" max="933" width="20" bestFit="1" customWidth="1"/>
    <col min="934" max="934" width="19.33203125" bestFit="1" customWidth="1"/>
    <col min="935" max="935" width="21.1640625" bestFit="1" customWidth="1"/>
    <col min="936" max="936" width="19" bestFit="1" customWidth="1"/>
    <col min="937" max="937" width="19.33203125" bestFit="1" customWidth="1"/>
    <col min="938" max="938" width="21.1640625" bestFit="1" customWidth="1"/>
    <col min="939" max="939" width="18.1640625" bestFit="1" customWidth="1"/>
    <col min="940" max="940" width="19.33203125" bestFit="1" customWidth="1"/>
    <col min="941" max="942" width="21.1640625" bestFit="1" customWidth="1"/>
    <col min="943" max="943" width="20.1640625" bestFit="1" customWidth="1"/>
    <col min="944" max="944" width="21.1640625" bestFit="1" customWidth="1"/>
    <col min="945" max="945" width="22.83203125" bestFit="1" customWidth="1"/>
    <col min="946" max="946" width="19.83203125" bestFit="1" customWidth="1"/>
    <col min="947" max="947" width="21.1640625" bestFit="1" customWidth="1"/>
    <col min="948" max="948" width="22.33203125" bestFit="1" customWidth="1"/>
    <col min="949" max="950" width="21.1640625" bestFit="1" customWidth="1"/>
    <col min="951" max="951" width="24" bestFit="1" customWidth="1"/>
    <col min="952" max="952" width="20.33203125" bestFit="1" customWidth="1"/>
    <col min="953" max="953" width="21.1640625" bestFit="1" customWidth="1"/>
    <col min="954" max="954" width="23.1640625" bestFit="1" customWidth="1"/>
    <col min="955" max="955" width="19.33203125" bestFit="1" customWidth="1"/>
    <col min="956" max="956" width="21.1640625" bestFit="1" customWidth="1"/>
    <col min="957" max="957" width="21.83203125" bestFit="1" customWidth="1"/>
    <col min="958" max="958" width="19.33203125" bestFit="1" customWidth="1"/>
    <col min="959" max="959" width="21.1640625" bestFit="1" customWidth="1"/>
    <col min="960" max="960" width="21.83203125" bestFit="1" customWidth="1"/>
    <col min="961" max="961" width="19.33203125" bestFit="1" customWidth="1"/>
    <col min="962" max="962" width="21.1640625" bestFit="1" customWidth="1"/>
    <col min="963" max="963" width="22.1640625" bestFit="1" customWidth="1"/>
    <col min="964" max="964" width="30.1640625" bestFit="1" customWidth="1"/>
    <col min="965" max="965" width="28.1640625" bestFit="1" customWidth="1"/>
    <col min="966" max="966" width="33" bestFit="1" customWidth="1"/>
    <col min="967" max="967" width="30.1640625" bestFit="1" customWidth="1"/>
    <col min="968" max="968" width="28.1640625" bestFit="1" customWidth="1"/>
    <col min="969" max="969" width="33" bestFit="1" customWidth="1"/>
    <col min="970" max="970" width="24.83203125" bestFit="1" customWidth="1"/>
    <col min="971" max="971" width="22.33203125" bestFit="1" customWidth="1"/>
    <col min="972" max="972" width="27.1640625" bestFit="1" customWidth="1"/>
    <col min="973" max="973" width="24.1640625" bestFit="1" customWidth="1"/>
    <col min="974" max="974" width="22.1640625" bestFit="1" customWidth="1"/>
    <col min="975" max="975" width="27" bestFit="1" customWidth="1"/>
    <col min="976" max="976" width="22.83203125" bestFit="1" customWidth="1"/>
    <col min="977" max="977" width="21.1640625" bestFit="1" customWidth="1"/>
    <col min="978" max="978" width="25.33203125" bestFit="1" customWidth="1"/>
    <col min="979" max="979" width="19.33203125" bestFit="1" customWidth="1"/>
    <col min="980" max="980" width="21.1640625" bestFit="1" customWidth="1"/>
    <col min="981" max="981" width="15.33203125" bestFit="1" customWidth="1"/>
    <col min="982" max="982" width="20" bestFit="1" customWidth="1"/>
    <col min="983" max="983" width="21.1640625" bestFit="1" customWidth="1"/>
    <col min="984" max="984" width="22.83203125" bestFit="1" customWidth="1"/>
    <col min="985" max="985" width="19.33203125" bestFit="1" customWidth="1"/>
    <col min="986" max="986" width="21.1640625" bestFit="1" customWidth="1"/>
    <col min="987" max="987" width="15" bestFit="1" customWidth="1"/>
    <col min="988" max="988" width="19.33203125" bestFit="1" customWidth="1"/>
    <col min="989" max="989" width="21.1640625" bestFit="1" customWidth="1"/>
    <col min="990" max="990" width="15.83203125" bestFit="1" customWidth="1"/>
    <col min="991" max="992" width="21.1640625" bestFit="1" customWidth="1"/>
    <col min="993" max="993" width="23.83203125" bestFit="1" customWidth="1"/>
    <col min="994" max="994" width="24" bestFit="1" customWidth="1"/>
    <col min="995" max="995" width="21.83203125" bestFit="1" customWidth="1"/>
    <col min="996" max="996" width="26.83203125" bestFit="1" customWidth="1"/>
    <col min="997" max="997" width="21" bestFit="1" customWidth="1"/>
    <col min="998" max="998" width="21.1640625" bestFit="1" customWidth="1"/>
    <col min="999" max="999" width="23.83203125" bestFit="1" customWidth="1"/>
    <col min="1000" max="1000" width="29.83203125" bestFit="1" customWidth="1"/>
    <col min="1001" max="1001" width="27.83203125" bestFit="1" customWidth="1"/>
    <col min="1002" max="1002" width="32.33203125" bestFit="1" customWidth="1"/>
    <col min="1003" max="1003" width="28.1640625" bestFit="1" customWidth="1"/>
    <col min="1004" max="1004" width="26" bestFit="1" customWidth="1"/>
    <col min="1005" max="1005" width="30.83203125" bestFit="1" customWidth="1"/>
    <col min="1006" max="1007" width="21.1640625" bestFit="1" customWidth="1"/>
    <col min="1008" max="1008" width="23.83203125" bestFit="1" customWidth="1"/>
    <col min="1009" max="1010" width="21.1640625" bestFit="1" customWidth="1"/>
    <col min="1011" max="1011" width="23.83203125" bestFit="1" customWidth="1"/>
    <col min="1012" max="1012" width="19.33203125" bestFit="1" customWidth="1"/>
    <col min="1013" max="1013" width="21.1640625" bestFit="1" customWidth="1"/>
    <col min="1014" max="1014" width="18.33203125" bestFit="1" customWidth="1"/>
    <col min="1015" max="1015" width="19.33203125" bestFit="1" customWidth="1"/>
    <col min="1016" max="1016" width="21.1640625" bestFit="1" customWidth="1"/>
    <col min="1017" max="1017" width="19" bestFit="1" customWidth="1"/>
    <col min="1018" max="1018" width="21" bestFit="1" customWidth="1"/>
    <col min="1019" max="1019" width="21.1640625" bestFit="1" customWidth="1"/>
    <col min="1020" max="1020" width="23.83203125" bestFit="1" customWidth="1"/>
    <col min="1021" max="1021" width="19.33203125" bestFit="1" customWidth="1"/>
    <col min="1022" max="1022" width="21.1640625" bestFit="1" customWidth="1"/>
    <col min="1023" max="1023" width="22.1640625" bestFit="1" customWidth="1"/>
    <col min="1024" max="1024" width="19.33203125" bestFit="1" customWidth="1"/>
    <col min="1025" max="1025" width="21.1640625" bestFit="1" customWidth="1"/>
    <col min="1026" max="1026" width="16.33203125" bestFit="1" customWidth="1"/>
    <col min="1027" max="1027" width="23.83203125" bestFit="1" customWidth="1"/>
    <col min="1028" max="1028" width="21.83203125" bestFit="1" customWidth="1"/>
    <col min="1029" max="1029" width="26.33203125" bestFit="1" customWidth="1"/>
    <col min="1030" max="1030" width="30.1640625" bestFit="1" customWidth="1"/>
    <col min="1031" max="1031" width="28" bestFit="1" customWidth="1"/>
    <col min="1032" max="1032" width="32.83203125" bestFit="1" customWidth="1"/>
    <col min="1033" max="1033" width="21.83203125" bestFit="1" customWidth="1"/>
    <col min="1034" max="1034" width="21.1640625" bestFit="1" customWidth="1"/>
    <col min="1035" max="1035" width="24.33203125" bestFit="1" customWidth="1"/>
    <col min="1036" max="1036" width="19.33203125" bestFit="1" customWidth="1"/>
    <col min="1037" max="1037" width="21.1640625" bestFit="1" customWidth="1"/>
    <col min="1038" max="1038" width="15.33203125" bestFit="1" customWidth="1"/>
    <col min="1039" max="1039" width="19.33203125" bestFit="1" customWidth="1"/>
    <col min="1040" max="1040" width="21.1640625" bestFit="1" customWidth="1"/>
    <col min="1041" max="1041" width="20" bestFit="1" customWidth="1"/>
    <col min="1042" max="1042" width="19.33203125" bestFit="1" customWidth="1"/>
    <col min="1043" max="1043" width="21.1640625" bestFit="1" customWidth="1"/>
    <col min="1044" max="1045" width="19.33203125" bestFit="1" customWidth="1"/>
    <col min="1046" max="1047" width="21.1640625" bestFit="1" customWidth="1"/>
    <col min="1048" max="1048" width="19.33203125" bestFit="1" customWidth="1"/>
    <col min="1049" max="1049" width="21.1640625" bestFit="1" customWidth="1"/>
    <col min="1050" max="1050" width="20" bestFit="1" customWidth="1"/>
    <col min="1051" max="1051" width="19.33203125" bestFit="1" customWidth="1"/>
    <col min="1052" max="1053" width="21.1640625" bestFit="1" customWidth="1"/>
    <col min="1054" max="1054" width="19.33203125" bestFit="1" customWidth="1"/>
    <col min="1055" max="1055" width="21.1640625" bestFit="1" customWidth="1"/>
    <col min="1056" max="1056" width="20.1640625" bestFit="1" customWidth="1"/>
    <col min="1057" max="1057" width="19.33203125" bestFit="1" customWidth="1"/>
    <col min="1058" max="1058" width="21.1640625" bestFit="1" customWidth="1"/>
    <col min="1059" max="1059" width="17" bestFit="1" customWidth="1"/>
    <col min="1060" max="1060" width="28" bestFit="1" customWidth="1"/>
    <col min="1061" max="1061" width="25.83203125" bestFit="1" customWidth="1"/>
    <col min="1062" max="1062" width="30.83203125" bestFit="1" customWidth="1"/>
    <col min="1063" max="1063" width="27.83203125" bestFit="1" customWidth="1"/>
    <col min="1064" max="1064" width="25.33203125" bestFit="1" customWidth="1"/>
    <col min="1065" max="1065" width="30.33203125" bestFit="1" customWidth="1"/>
    <col min="1066" max="1066" width="29.83203125" bestFit="1" customWidth="1"/>
    <col min="1067" max="1067" width="27.83203125" bestFit="1" customWidth="1"/>
    <col min="1068" max="1068" width="32.33203125" bestFit="1" customWidth="1"/>
    <col min="1069" max="1069" width="28" bestFit="1" customWidth="1"/>
    <col min="1070" max="1070" width="25.83203125" bestFit="1" customWidth="1"/>
    <col min="1071" max="1071" width="30.83203125" bestFit="1" customWidth="1"/>
    <col min="1072" max="1072" width="28.1640625" bestFit="1" customWidth="1"/>
    <col min="1073" max="1073" width="26" bestFit="1" customWidth="1"/>
    <col min="1074" max="1074" width="30.83203125" bestFit="1" customWidth="1"/>
    <col min="1075" max="1075" width="19.33203125" bestFit="1" customWidth="1"/>
    <col min="1076" max="1076" width="21.1640625" bestFit="1" customWidth="1"/>
    <col min="1077" max="1077" width="18" bestFit="1" customWidth="1"/>
    <col min="1078" max="1078" width="19.33203125" bestFit="1" customWidth="1"/>
    <col min="1079" max="1079" width="21.1640625" bestFit="1" customWidth="1"/>
    <col min="1080" max="1080" width="22" bestFit="1" customWidth="1"/>
    <col min="1081" max="1081" width="20" bestFit="1" customWidth="1"/>
    <col min="1082" max="1082" width="21.1640625" bestFit="1" customWidth="1"/>
    <col min="1083" max="1083" width="22.83203125" bestFit="1" customWidth="1"/>
    <col min="1084" max="1084" width="25.33203125" bestFit="1" customWidth="1"/>
    <col min="1085" max="1085" width="23.1640625" bestFit="1" customWidth="1"/>
    <col min="1086" max="1086" width="28.1640625" bestFit="1" customWidth="1"/>
    <col min="1087" max="1087" width="19.33203125" bestFit="1" customWidth="1"/>
    <col min="1088" max="1088" width="21.1640625" bestFit="1" customWidth="1"/>
    <col min="1089" max="1089" width="20.1640625" bestFit="1" customWidth="1"/>
    <col min="1090" max="1090" width="19.33203125" bestFit="1" customWidth="1"/>
    <col min="1091" max="1091" width="21.1640625" bestFit="1" customWidth="1"/>
    <col min="1092" max="1092" width="18" bestFit="1" customWidth="1"/>
    <col min="1093" max="1093" width="20.1640625" bestFit="1" customWidth="1"/>
    <col min="1094" max="1094" width="21.1640625" bestFit="1" customWidth="1"/>
    <col min="1095" max="1095" width="23" bestFit="1" customWidth="1"/>
    <col min="1096" max="1097" width="21.1640625" bestFit="1" customWidth="1"/>
    <col min="1098" max="1098" width="23.83203125" bestFit="1" customWidth="1"/>
    <col min="1099" max="1099" width="19.33203125" bestFit="1" customWidth="1"/>
    <col min="1100" max="1100" width="21.1640625" bestFit="1" customWidth="1"/>
    <col min="1101" max="1101" width="17.33203125" bestFit="1" customWidth="1"/>
    <col min="1102" max="1102" width="19.33203125" bestFit="1" customWidth="1"/>
    <col min="1103" max="1103" width="21.1640625" bestFit="1" customWidth="1"/>
    <col min="1104" max="1104" width="15.83203125" bestFit="1" customWidth="1"/>
    <col min="1105" max="1105" width="19.33203125" bestFit="1" customWidth="1"/>
    <col min="1106" max="1106" width="21.1640625" bestFit="1" customWidth="1"/>
    <col min="1107" max="1107" width="19.1640625" bestFit="1" customWidth="1"/>
    <col min="1108" max="1108" width="19.33203125" bestFit="1" customWidth="1"/>
    <col min="1109" max="1109" width="21.1640625" bestFit="1" customWidth="1"/>
    <col min="1110" max="1110" width="17.1640625" bestFit="1" customWidth="1"/>
    <col min="1111" max="1111" width="19.33203125" bestFit="1" customWidth="1"/>
    <col min="1112" max="1112" width="21.1640625" bestFit="1" customWidth="1"/>
    <col min="1113" max="1113" width="20.83203125" bestFit="1" customWidth="1"/>
    <col min="1114" max="1114" width="19.33203125" bestFit="1" customWidth="1"/>
    <col min="1115" max="1115" width="21.1640625" bestFit="1" customWidth="1"/>
    <col min="1116" max="1116" width="15.83203125" bestFit="1" customWidth="1"/>
    <col min="1117" max="1117" width="19.33203125" bestFit="1" customWidth="1"/>
    <col min="1118" max="1118" width="21.1640625" bestFit="1" customWidth="1"/>
    <col min="1119" max="1119" width="16.33203125" bestFit="1" customWidth="1"/>
    <col min="1120" max="1120" width="19.33203125" bestFit="1" customWidth="1"/>
    <col min="1121" max="1121" width="21.1640625" bestFit="1" customWidth="1"/>
    <col min="1122" max="1122" width="18" bestFit="1" customWidth="1"/>
    <col min="1123" max="1123" width="19.33203125" bestFit="1" customWidth="1"/>
    <col min="1124" max="1124" width="21.1640625" bestFit="1" customWidth="1"/>
    <col min="1125" max="1125" width="17" bestFit="1" customWidth="1"/>
    <col min="1126" max="1126" width="19.33203125" bestFit="1" customWidth="1"/>
    <col min="1127" max="1127" width="21.1640625" bestFit="1" customWidth="1"/>
    <col min="1128" max="1128" width="17.83203125" bestFit="1" customWidth="1"/>
    <col min="1129" max="1129" width="19.33203125" bestFit="1" customWidth="1"/>
    <col min="1130" max="1130" width="21.1640625" bestFit="1" customWidth="1"/>
    <col min="1131" max="1132" width="20" bestFit="1" customWidth="1"/>
    <col min="1133" max="1133" width="21.1640625" bestFit="1" customWidth="1"/>
    <col min="1134" max="1134" width="22.83203125" bestFit="1" customWidth="1"/>
    <col min="1135" max="1135" width="19.33203125" bestFit="1" customWidth="1"/>
    <col min="1136" max="1136" width="21.1640625" bestFit="1" customWidth="1"/>
    <col min="1137" max="1137" width="18.83203125" bestFit="1" customWidth="1"/>
    <col min="1138" max="1138" width="19.33203125" bestFit="1" customWidth="1"/>
    <col min="1139" max="1139" width="21.1640625" bestFit="1" customWidth="1"/>
    <col min="1140" max="1140" width="17.33203125" bestFit="1" customWidth="1"/>
    <col min="1141" max="1141" width="19.33203125" bestFit="1" customWidth="1"/>
    <col min="1142" max="1142" width="21.1640625" bestFit="1" customWidth="1"/>
    <col min="1143" max="1143" width="18.83203125" bestFit="1" customWidth="1"/>
    <col min="1144" max="1144" width="19.33203125" bestFit="1" customWidth="1"/>
    <col min="1145" max="1145" width="21.1640625" bestFit="1" customWidth="1"/>
    <col min="1146" max="1146" width="20.33203125" bestFit="1" customWidth="1"/>
    <col min="1147" max="1147" width="19.33203125" bestFit="1" customWidth="1"/>
    <col min="1148" max="1148" width="21.1640625" bestFit="1" customWidth="1"/>
    <col min="1149" max="1149" width="17" bestFit="1" customWidth="1"/>
    <col min="1150" max="1150" width="19.33203125" bestFit="1" customWidth="1"/>
    <col min="1151" max="1151" width="21.1640625" bestFit="1" customWidth="1"/>
    <col min="1152" max="1152" width="17.1640625" bestFit="1" customWidth="1"/>
    <col min="1153" max="1153" width="19.83203125" bestFit="1" customWidth="1"/>
    <col min="1154" max="1154" width="21.1640625" bestFit="1" customWidth="1"/>
    <col min="1155" max="1155" width="22.1640625" bestFit="1" customWidth="1"/>
    <col min="1156" max="1156" width="22" bestFit="1" customWidth="1"/>
    <col min="1157" max="1157" width="21.1640625" bestFit="1" customWidth="1"/>
    <col min="1158" max="1158" width="24.83203125" bestFit="1" customWidth="1"/>
    <col min="1159" max="1159" width="19.33203125" bestFit="1" customWidth="1"/>
    <col min="1160" max="1160" width="21.1640625" bestFit="1" customWidth="1"/>
    <col min="1161" max="1161" width="16.1640625" bestFit="1" customWidth="1"/>
    <col min="1162" max="1162" width="19.33203125" bestFit="1" customWidth="1"/>
    <col min="1163" max="1163" width="21.1640625" bestFit="1" customWidth="1"/>
    <col min="1164" max="1164" width="20" bestFit="1" customWidth="1"/>
    <col min="1165" max="1165" width="19.33203125" bestFit="1" customWidth="1"/>
    <col min="1166" max="1166" width="21.1640625" bestFit="1" customWidth="1"/>
    <col min="1167" max="1167" width="16.83203125" bestFit="1" customWidth="1"/>
    <col min="1168" max="1168" width="19.33203125" bestFit="1" customWidth="1"/>
    <col min="1169" max="1169" width="21.1640625" bestFit="1" customWidth="1"/>
    <col min="1170" max="1170" width="19" bestFit="1" customWidth="1"/>
    <col min="1171" max="1171" width="21.33203125" bestFit="1" customWidth="1"/>
    <col min="1172" max="1172" width="21.1640625" bestFit="1" customWidth="1"/>
    <col min="1173" max="1173" width="24.1640625" bestFit="1" customWidth="1"/>
    <col min="1174" max="1174" width="19.33203125" bestFit="1" customWidth="1"/>
    <col min="1175" max="1175" width="21.1640625" bestFit="1" customWidth="1"/>
    <col min="1176" max="1176" width="18.83203125" bestFit="1" customWidth="1"/>
    <col min="1177" max="1177" width="19.33203125" bestFit="1" customWidth="1"/>
    <col min="1178" max="1178" width="21.1640625" bestFit="1" customWidth="1"/>
    <col min="1179" max="1179" width="18.1640625" bestFit="1" customWidth="1"/>
    <col min="1180" max="1180" width="22.33203125" bestFit="1" customWidth="1"/>
    <col min="1181" max="1181" width="21.1640625" bestFit="1" customWidth="1"/>
    <col min="1182" max="1182" width="25.1640625" bestFit="1" customWidth="1"/>
    <col min="1183" max="1183" width="23" bestFit="1" customWidth="1"/>
    <col min="1184" max="1184" width="21.1640625" bestFit="1" customWidth="1"/>
    <col min="1185" max="1185" width="25.83203125" bestFit="1" customWidth="1"/>
    <col min="1186" max="1186" width="19.33203125" bestFit="1" customWidth="1"/>
    <col min="1187" max="1187" width="21.1640625" bestFit="1" customWidth="1"/>
    <col min="1188" max="1188" width="18.83203125" bestFit="1" customWidth="1"/>
    <col min="1189" max="1189" width="19.33203125" bestFit="1" customWidth="1"/>
    <col min="1190" max="1191" width="21.1640625" bestFit="1" customWidth="1"/>
    <col min="1192" max="1192" width="19.33203125" bestFit="1" customWidth="1"/>
    <col min="1193" max="1193" width="21.1640625" bestFit="1" customWidth="1"/>
    <col min="1194" max="1194" width="20.83203125" bestFit="1" customWidth="1"/>
    <col min="1195" max="1195" width="19.33203125" bestFit="1" customWidth="1"/>
    <col min="1196" max="1196" width="21.1640625" bestFit="1" customWidth="1"/>
    <col min="1197" max="1197" width="18.83203125" bestFit="1" customWidth="1"/>
    <col min="1198" max="1198" width="19.33203125" bestFit="1" customWidth="1"/>
    <col min="1199" max="1199" width="21.1640625" bestFit="1" customWidth="1"/>
    <col min="1200" max="1200" width="19.1640625" bestFit="1" customWidth="1"/>
    <col min="1201" max="1201" width="19.33203125" bestFit="1" customWidth="1"/>
    <col min="1202" max="1202" width="21.1640625" bestFit="1" customWidth="1"/>
    <col min="1203" max="1203" width="20.1640625" bestFit="1" customWidth="1"/>
    <col min="1204" max="1204" width="19.33203125" bestFit="1" customWidth="1"/>
    <col min="1205" max="1205" width="21.1640625" bestFit="1" customWidth="1"/>
    <col min="1206" max="1206" width="17.83203125" bestFit="1" customWidth="1"/>
    <col min="1207" max="1207" width="19.33203125" bestFit="1" customWidth="1"/>
    <col min="1208" max="1208" width="21.1640625" bestFit="1" customWidth="1"/>
    <col min="1209" max="1209" width="17.33203125" bestFit="1" customWidth="1"/>
    <col min="1210" max="1210" width="19.33203125" bestFit="1" customWidth="1"/>
    <col min="1211" max="1211" width="21.1640625" bestFit="1" customWidth="1"/>
    <col min="1212" max="1212" width="22.1640625" bestFit="1" customWidth="1"/>
    <col min="1213" max="1213" width="19.33203125" bestFit="1" customWidth="1"/>
    <col min="1214" max="1214" width="21.1640625" bestFit="1" customWidth="1"/>
    <col min="1215" max="1215" width="18.83203125" bestFit="1" customWidth="1"/>
    <col min="1216" max="1216" width="24.83203125" bestFit="1" customWidth="1"/>
    <col min="1217" max="1217" width="22.83203125" bestFit="1" customWidth="1"/>
    <col min="1218" max="1218" width="27.33203125" bestFit="1" customWidth="1"/>
    <col min="1219" max="1219" width="26.1640625" bestFit="1" customWidth="1"/>
    <col min="1220" max="1220" width="24" bestFit="1" customWidth="1"/>
    <col min="1221" max="1221" width="28.83203125" bestFit="1" customWidth="1"/>
    <col min="1222" max="1222" width="20" bestFit="1" customWidth="1"/>
    <col min="1223" max="1223" width="21.1640625" bestFit="1" customWidth="1"/>
    <col min="1224" max="1224" width="22.83203125" bestFit="1" customWidth="1"/>
    <col min="1225" max="1225" width="22.33203125" bestFit="1" customWidth="1"/>
    <col min="1226" max="1226" width="21.1640625" bestFit="1" customWidth="1"/>
    <col min="1227" max="1227" width="25.1640625" bestFit="1" customWidth="1"/>
    <col min="1228" max="1228" width="19.33203125" bestFit="1" customWidth="1"/>
    <col min="1229" max="1229" width="21.1640625" bestFit="1" customWidth="1"/>
    <col min="1230" max="1230" width="22.1640625" bestFit="1" customWidth="1"/>
    <col min="1231" max="1231" width="19.33203125" bestFit="1" customWidth="1"/>
    <col min="1232" max="1232" width="21.1640625" bestFit="1" customWidth="1"/>
    <col min="1233" max="1233" width="18" bestFit="1" customWidth="1"/>
    <col min="1234" max="1234" width="19.33203125" bestFit="1" customWidth="1"/>
    <col min="1235" max="1235" width="21.1640625" bestFit="1" customWidth="1"/>
    <col min="1236" max="1236" width="15.33203125" bestFit="1" customWidth="1"/>
    <col min="1237" max="1237" width="24.1640625" bestFit="1" customWidth="1"/>
    <col min="1238" max="1238" width="22" bestFit="1" customWidth="1"/>
    <col min="1239" max="1239" width="26.83203125" bestFit="1" customWidth="1"/>
    <col min="1240" max="1240" width="19.33203125" bestFit="1" customWidth="1"/>
    <col min="1241" max="1241" width="21.1640625" bestFit="1" customWidth="1"/>
    <col min="1242" max="1242" width="20.33203125" bestFit="1" customWidth="1"/>
    <col min="1243" max="1243" width="19.33203125" bestFit="1" customWidth="1"/>
    <col min="1244" max="1244" width="21.1640625" bestFit="1" customWidth="1"/>
    <col min="1245" max="1245" width="20.33203125" bestFit="1" customWidth="1"/>
    <col min="1246" max="1246" width="19.33203125" bestFit="1" customWidth="1"/>
    <col min="1247" max="1247" width="21.1640625" bestFit="1" customWidth="1"/>
    <col min="1248" max="1248" width="20.83203125" bestFit="1" customWidth="1"/>
    <col min="1249" max="1250" width="21.1640625" bestFit="1" customWidth="1"/>
    <col min="1251" max="1251" width="23.83203125" bestFit="1" customWidth="1"/>
    <col min="1252" max="1252" width="20.33203125" bestFit="1" customWidth="1"/>
    <col min="1253" max="1253" width="21.1640625" bestFit="1" customWidth="1"/>
    <col min="1254" max="1254" width="23.1640625" bestFit="1" customWidth="1"/>
    <col min="1255" max="1255" width="19.33203125" bestFit="1" customWidth="1"/>
    <col min="1256" max="1256" width="21.1640625" bestFit="1" customWidth="1"/>
    <col min="1257" max="1257" width="22" bestFit="1" customWidth="1"/>
    <col min="1258" max="1258" width="26.33203125" bestFit="1" customWidth="1"/>
    <col min="1259" max="1259" width="24.1640625" bestFit="1" customWidth="1"/>
    <col min="1260" max="1260" width="29.1640625" bestFit="1" customWidth="1"/>
    <col min="1261" max="1261" width="19.33203125" bestFit="1" customWidth="1"/>
    <col min="1262" max="1263" width="21.1640625" bestFit="1" customWidth="1"/>
    <col min="1264" max="1264" width="20.1640625" bestFit="1" customWidth="1"/>
    <col min="1265" max="1265" width="21.1640625" bestFit="1" customWidth="1"/>
    <col min="1266" max="1266" width="22.83203125" bestFit="1" customWidth="1"/>
    <col min="1267" max="1267" width="21.33203125" bestFit="1" customWidth="1"/>
    <col min="1268" max="1268" width="21.1640625" bestFit="1" customWidth="1"/>
    <col min="1269" max="1269" width="24.1640625" bestFit="1" customWidth="1"/>
    <col min="1270" max="1270" width="19.33203125" bestFit="1" customWidth="1"/>
    <col min="1271" max="1271" width="21.1640625" bestFit="1" customWidth="1"/>
    <col min="1272" max="1272" width="18.33203125" bestFit="1" customWidth="1"/>
    <col min="1273" max="1273" width="19.33203125" bestFit="1" customWidth="1"/>
    <col min="1274" max="1274" width="21.1640625" bestFit="1" customWidth="1"/>
    <col min="1275" max="1276" width="19.33203125" bestFit="1" customWidth="1"/>
    <col min="1277" max="1277" width="21.1640625" bestFit="1" customWidth="1"/>
    <col min="1278" max="1278" width="22" bestFit="1" customWidth="1"/>
    <col min="1279" max="1280" width="21.1640625" bestFit="1" customWidth="1"/>
    <col min="1281" max="1281" width="23.83203125" bestFit="1" customWidth="1"/>
    <col min="1282" max="1282" width="19.33203125" bestFit="1" customWidth="1"/>
    <col min="1283" max="1284" width="21.1640625" bestFit="1" customWidth="1"/>
    <col min="1285" max="1285" width="19.33203125" bestFit="1" customWidth="1"/>
    <col min="1286" max="1286" width="21.1640625" bestFit="1" customWidth="1"/>
    <col min="1287" max="1287" width="18.1640625" bestFit="1" customWidth="1"/>
    <col min="1288" max="1288" width="19.33203125" bestFit="1" customWidth="1"/>
    <col min="1289" max="1289" width="21.1640625" bestFit="1" customWidth="1"/>
    <col min="1290" max="1290" width="18.83203125" bestFit="1" customWidth="1"/>
    <col min="1291" max="1291" width="21" bestFit="1" customWidth="1"/>
    <col min="1292" max="1292" width="21.1640625" bestFit="1" customWidth="1"/>
    <col min="1293" max="1293" width="23.83203125" bestFit="1" customWidth="1"/>
    <col min="1294" max="1294" width="19.33203125" bestFit="1" customWidth="1"/>
    <col min="1295" max="1295" width="21.1640625" bestFit="1" customWidth="1"/>
    <col min="1296" max="1296" width="16.83203125" bestFit="1" customWidth="1"/>
    <col min="1297" max="1297" width="19.33203125" bestFit="1" customWidth="1"/>
    <col min="1298" max="1298" width="21.1640625" bestFit="1" customWidth="1"/>
    <col min="1299" max="1299" width="18.83203125" bestFit="1" customWidth="1"/>
    <col min="1300" max="1300" width="22.83203125" bestFit="1" customWidth="1"/>
    <col min="1301" max="1301" width="21.1640625" bestFit="1" customWidth="1"/>
    <col min="1302" max="1302" width="25.1640625" bestFit="1" customWidth="1"/>
    <col min="1303" max="1303" width="19.33203125" bestFit="1" customWidth="1"/>
    <col min="1304" max="1304" width="21.1640625" bestFit="1" customWidth="1"/>
    <col min="1305" max="1305" width="20.83203125" bestFit="1" customWidth="1"/>
    <col min="1306" max="1306" width="22" bestFit="1" customWidth="1"/>
    <col min="1307" max="1307" width="21.1640625" bestFit="1" customWidth="1"/>
    <col min="1308" max="1308" width="24.83203125" bestFit="1" customWidth="1"/>
    <col min="1309" max="1309" width="19.33203125" bestFit="1" customWidth="1"/>
    <col min="1310" max="1310" width="21.1640625" bestFit="1" customWidth="1"/>
    <col min="1311" max="1311" width="20.33203125" bestFit="1" customWidth="1"/>
    <col min="1312" max="1312" width="19.33203125" bestFit="1" customWidth="1"/>
    <col min="1313" max="1313" width="21.1640625" bestFit="1" customWidth="1"/>
    <col min="1314" max="1314" width="21.83203125" bestFit="1" customWidth="1"/>
    <col min="1315" max="1315" width="19.83203125" bestFit="1" customWidth="1"/>
    <col min="1316" max="1316" width="21.1640625" bestFit="1" customWidth="1"/>
    <col min="1317" max="1317" width="22.1640625" bestFit="1" customWidth="1"/>
    <col min="1318" max="1318" width="28" bestFit="1" customWidth="1"/>
    <col min="1319" max="1319" width="25.83203125" bestFit="1" customWidth="1"/>
    <col min="1320" max="1320" width="30.83203125" bestFit="1" customWidth="1"/>
    <col min="1321" max="1321" width="22.1640625" bestFit="1" customWidth="1"/>
    <col min="1322" max="1322" width="21.1640625" bestFit="1" customWidth="1"/>
    <col min="1323" max="1323" width="25" bestFit="1" customWidth="1"/>
    <col min="1324" max="1324" width="24.1640625" bestFit="1" customWidth="1"/>
    <col min="1325" max="1325" width="22.1640625" bestFit="1" customWidth="1"/>
    <col min="1326" max="1326" width="27" bestFit="1" customWidth="1"/>
    <col min="1327" max="1327" width="19.33203125" bestFit="1" customWidth="1"/>
    <col min="1328" max="1328" width="21.1640625" bestFit="1" customWidth="1"/>
    <col min="1329" max="1329" width="19.33203125" bestFit="1" customWidth="1"/>
    <col min="1330" max="1330" width="20.83203125" bestFit="1" customWidth="1"/>
    <col min="1331" max="1331" width="21.1640625" bestFit="1" customWidth="1"/>
    <col min="1332" max="1332" width="23.1640625" bestFit="1" customWidth="1"/>
    <col min="1333" max="1333" width="21.83203125" bestFit="1" customWidth="1"/>
    <col min="1334" max="1334" width="21.1640625" bestFit="1" customWidth="1"/>
    <col min="1335" max="1335" width="24.1640625" bestFit="1" customWidth="1"/>
    <col min="1336" max="1336" width="19.33203125" bestFit="1" customWidth="1"/>
    <col min="1337" max="1337" width="21.1640625" bestFit="1" customWidth="1"/>
    <col min="1338" max="1338" width="16.33203125" bestFit="1" customWidth="1"/>
    <col min="1339" max="1339" width="19.33203125" bestFit="1" customWidth="1"/>
    <col min="1340" max="1340" width="21.1640625" bestFit="1" customWidth="1"/>
    <col min="1341" max="1341" width="19" bestFit="1" customWidth="1"/>
    <col min="1342" max="1342" width="26.1640625" bestFit="1" customWidth="1"/>
    <col min="1343" max="1343" width="24" bestFit="1" customWidth="1"/>
    <col min="1344" max="1344" width="28.83203125" bestFit="1" customWidth="1"/>
    <col min="1345" max="1345" width="19.33203125" bestFit="1" customWidth="1"/>
    <col min="1346" max="1346" width="21.1640625" bestFit="1" customWidth="1"/>
    <col min="1347" max="1347" width="20.83203125" bestFit="1" customWidth="1"/>
    <col min="1348" max="1348" width="19.33203125" bestFit="1" customWidth="1"/>
    <col min="1349" max="1349" width="21.1640625" bestFit="1" customWidth="1"/>
    <col min="1350" max="1350" width="15.33203125" bestFit="1" customWidth="1"/>
    <col min="1351" max="1351" width="20.1640625" bestFit="1" customWidth="1"/>
    <col min="1352" max="1352" width="21.1640625" bestFit="1" customWidth="1"/>
    <col min="1353" max="1353" width="23" bestFit="1" customWidth="1"/>
    <col min="1354" max="1354" width="15.1640625" bestFit="1" customWidth="1"/>
  </cols>
  <sheetData>
    <row r="1" spans="1:46" x14ac:dyDescent="0.2">
      <c r="B1" s="5" t="s">
        <v>1</v>
      </c>
      <c r="C1" t="s">
        <v>129</v>
      </c>
    </row>
    <row r="3" spans="1:46" x14ac:dyDescent="0.2">
      <c r="C3" s="5" t="s">
        <v>21</v>
      </c>
    </row>
    <row r="4" spans="1:46" x14ac:dyDescent="0.2">
      <c r="C4" t="s">
        <v>130</v>
      </c>
      <c r="E4" t="s">
        <v>145</v>
      </c>
      <c r="F4" t="s">
        <v>131</v>
      </c>
      <c r="H4" t="s">
        <v>146</v>
      </c>
      <c r="I4" t="s">
        <v>132</v>
      </c>
      <c r="K4" t="s">
        <v>147</v>
      </c>
      <c r="L4" t="s">
        <v>133</v>
      </c>
      <c r="N4" t="s">
        <v>148</v>
      </c>
      <c r="O4" t="s">
        <v>134</v>
      </c>
      <c r="Q4" t="s">
        <v>149</v>
      </c>
      <c r="R4" t="s">
        <v>135</v>
      </c>
      <c r="T4" t="s">
        <v>150</v>
      </c>
      <c r="U4" t="s">
        <v>136</v>
      </c>
      <c r="W4" t="s">
        <v>151</v>
      </c>
      <c r="X4" t="s">
        <v>137</v>
      </c>
      <c r="Z4" t="s">
        <v>152</v>
      </c>
      <c r="AA4" t="s">
        <v>138</v>
      </c>
      <c r="AC4" t="s">
        <v>153</v>
      </c>
      <c r="AD4" t="s">
        <v>139</v>
      </c>
      <c r="AF4" t="s">
        <v>154</v>
      </c>
      <c r="AG4" t="s">
        <v>140</v>
      </c>
      <c r="AI4" t="s">
        <v>155</v>
      </c>
      <c r="AJ4" t="s">
        <v>141</v>
      </c>
      <c r="AL4" t="s">
        <v>156</v>
      </c>
      <c r="AM4" t="s">
        <v>142</v>
      </c>
      <c r="AO4" t="s">
        <v>157</v>
      </c>
      <c r="AP4" t="s">
        <v>143</v>
      </c>
      <c r="AR4" t="s">
        <v>158</v>
      </c>
      <c r="AS4" t="s">
        <v>17</v>
      </c>
    </row>
    <row r="5" spans="1:46" x14ac:dyDescent="0.2">
      <c r="C5" t="s">
        <v>54</v>
      </c>
      <c r="D5" t="s">
        <v>55</v>
      </c>
      <c r="F5" t="s">
        <v>54</v>
      </c>
      <c r="G5" t="s">
        <v>55</v>
      </c>
      <c r="I5" t="s">
        <v>54</v>
      </c>
      <c r="J5" t="s">
        <v>55</v>
      </c>
      <c r="L5" t="s">
        <v>54</v>
      </c>
      <c r="M5" t="s">
        <v>55</v>
      </c>
      <c r="O5" t="s">
        <v>54</v>
      </c>
      <c r="P5" t="s">
        <v>55</v>
      </c>
      <c r="R5" t="s">
        <v>54</v>
      </c>
      <c r="S5" t="s">
        <v>55</v>
      </c>
      <c r="U5" t="s">
        <v>54</v>
      </c>
      <c r="V5" t="s">
        <v>55</v>
      </c>
      <c r="X5" t="s">
        <v>54</v>
      </c>
      <c r="Y5" t="s">
        <v>55</v>
      </c>
      <c r="AA5" t="s">
        <v>54</v>
      </c>
      <c r="AB5" t="s">
        <v>55</v>
      </c>
      <c r="AD5" t="s">
        <v>54</v>
      </c>
      <c r="AE5" t="s">
        <v>55</v>
      </c>
      <c r="AG5" t="s">
        <v>54</v>
      </c>
      <c r="AH5" t="s">
        <v>55</v>
      </c>
      <c r="AJ5" t="s">
        <v>54</v>
      </c>
      <c r="AK5" t="s">
        <v>55</v>
      </c>
      <c r="AM5" t="s">
        <v>54</v>
      </c>
      <c r="AN5" t="s">
        <v>55</v>
      </c>
      <c r="AP5" t="s">
        <v>54</v>
      </c>
      <c r="AQ5" t="s">
        <v>55</v>
      </c>
    </row>
    <row r="6" spans="1:46" x14ac:dyDescent="0.2">
      <c r="B6" t="s">
        <v>33</v>
      </c>
      <c r="C6" s="7">
        <v>0</v>
      </c>
      <c r="D6" s="7">
        <v>0</v>
      </c>
      <c r="E6" s="7">
        <v>0</v>
      </c>
      <c r="F6" s="7">
        <v>0</v>
      </c>
      <c r="G6" s="7">
        <v>0</v>
      </c>
      <c r="H6" s="7">
        <v>0</v>
      </c>
      <c r="I6" s="7">
        <v>0</v>
      </c>
      <c r="J6" s="7">
        <v>0</v>
      </c>
      <c r="K6" s="7">
        <v>0</v>
      </c>
      <c r="L6" s="7">
        <v>0</v>
      </c>
      <c r="M6" s="7">
        <v>0</v>
      </c>
      <c r="N6" s="7">
        <v>0</v>
      </c>
      <c r="O6" s="7">
        <v>0</v>
      </c>
      <c r="P6" s="7">
        <v>0</v>
      </c>
      <c r="Q6" s="7">
        <v>0</v>
      </c>
      <c r="R6" s="7">
        <v>0</v>
      </c>
      <c r="S6" s="7">
        <v>0</v>
      </c>
      <c r="T6" s="7">
        <v>0</v>
      </c>
      <c r="U6" s="7">
        <v>0</v>
      </c>
      <c r="V6" s="7">
        <v>0</v>
      </c>
      <c r="W6" s="7">
        <v>0</v>
      </c>
      <c r="X6" s="7">
        <v>0</v>
      </c>
      <c r="Y6" s="7">
        <v>0</v>
      </c>
      <c r="Z6" s="7">
        <v>0</v>
      </c>
      <c r="AA6" s="7">
        <v>0</v>
      </c>
      <c r="AB6" s="7">
        <v>0</v>
      </c>
      <c r="AC6" s="7">
        <v>0</v>
      </c>
      <c r="AD6" s="7">
        <v>0</v>
      </c>
      <c r="AE6" s="7">
        <v>0</v>
      </c>
      <c r="AF6" s="7">
        <v>0</v>
      </c>
      <c r="AG6" s="7">
        <v>0</v>
      </c>
      <c r="AH6" s="7">
        <v>0</v>
      </c>
      <c r="AI6" s="7">
        <v>0</v>
      </c>
      <c r="AJ6" s="7">
        <v>0</v>
      </c>
      <c r="AK6" s="7">
        <v>0</v>
      </c>
      <c r="AL6" s="7">
        <v>0</v>
      </c>
      <c r="AM6" s="7">
        <v>0</v>
      </c>
      <c r="AN6" s="7">
        <v>0</v>
      </c>
      <c r="AO6" s="7">
        <v>0</v>
      </c>
      <c r="AP6" s="7">
        <v>0</v>
      </c>
      <c r="AQ6" s="7">
        <v>0</v>
      </c>
      <c r="AR6" s="7">
        <v>0</v>
      </c>
      <c r="AS6" s="7">
        <v>0</v>
      </c>
    </row>
    <row r="7" spans="1:46" x14ac:dyDescent="0.2">
      <c r="B7" s="14" t="s">
        <v>32</v>
      </c>
      <c r="C7" s="29">
        <f>SUM(C9:C87)</f>
        <v>0</v>
      </c>
      <c r="D7" s="29">
        <f t="shared" ref="D7:AR7" si="0">SUM(D9:D87)</f>
        <v>0</v>
      </c>
      <c r="E7" s="29">
        <f t="shared" si="0"/>
        <v>0</v>
      </c>
      <c r="F7" s="29">
        <f t="shared" si="0"/>
        <v>0</v>
      </c>
      <c r="G7" s="29">
        <f t="shared" si="0"/>
        <v>0</v>
      </c>
      <c r="H7" s="29">
        <f t="shared" si="0"/>
        <v>0</v>
      </c>
      <c r="I7" s="29">
        <f t="shared" si="0"/>
        <v>0</v>
      </c>
      <c r="J7" s="29">
        <f t="shared" si="0"/>
        <v>0</v>
      </c>
      <c r="K7" s="29">
        <f t="shared" si="0"/>
        <v>0</v>
      </c>
      <c r="L7" s="29">
        <f t="shared" si="0"/>
        <v>0</v>
      </c>
      <c r="M7" s="29">
        <f t="shared" si="0"/>
        <v>0</v>
      </c>
      <c r="N7" s="29">
        <f t="shared" si="0"/>
        <v>0</v>
      </c>
      <c r="O7" s="29">
        <f t="shared" si="0"/>
        <v>0</v>
      </c>
      <c r="P7" s="29">
        <f t="shared" si="0"/>
        <v>0</v>
      </c>
      <c r="Q7" s="29">
        <f t="shared" si="0"/>
        <v>0</v>
      </c>
      <c r="R7" s="29">
        <f t="shared" si="0"/>
        <v>0</v>
      </c>
      <c r="S7" s="29">
        <f t="shared" si="0"/>
        <v>0</v>
      </c>
      <c r="T7" s="29">
        <f t="shared" si="0"/>
        <v>0</v>
      </c>
      <c r="U7" s="29">
        <f t="shared" si="0"/>
        <v>0</v>
      </c>
      <c r="V7" s="29">
        <f t="shared" si="0"/>
        <v>0</v>
      </c>
      <c r="W7" s="29">
        <f t="shared" si="0"/>
        <v>0</v>
      </c>
      <c r="X7" s="29">
        <f t="shared" si="0"/>
        <v>0</v>
      </c>
      <c r="Y7" s="29">
        <f t="shared" si="0"/>
        <v>0</v>
      </c>
      <c r="Z7" s="29">
        <f t="shared" si="0"/>
        <v>0</v>
      </c>
      <c r="AA7" s="29">
        <f t="shared" si="0"/>
        <v>0</v>
      </c>
      <c r="AB7" s="29">
        <f t="shared" si="0"/>
        <v>0</v>
      </c>
      <c r="AC7" s="29">
        <f t="shared" si="0"/>
        <v>0</v>
      </c>
      <c r="AD7" s="29">
        <f t="shared" si="0"/>
        <v>0</v>
      </c>
      <c r="AE7" s="29">
        <f t="shared" si="0"/>
        <v>0</v>
      </c>
      <c r="AF7" s="29">
        <f t="shared" si="0"/>
        <v>0</v>
      </c>
      <c r="AG7" s="29">
        <f t="shared" si="0"/>
        <v>0</v>
      </c>
      <c r="AH7" s="29">
        <f t="shared" si="0"/>
        <v>0</v>
      </c>
      <c r="AI7" s="29">
        <f t="shared" si="0"/>
        <v>0</v>
      </c>
      <c r="AJ7" s="29">
        <f t="shared" si="0"/>
        <v>0</v>
      </c>
      <c r="AK7" s="29">
        <f t="shared" si="0"/>
        <v>0</v>
      </c>
      <c r="AL7" s="29">
        <f t="shared" si="0"/>
        <v>0</v>
      </c>
      <c r="AM7" s="29">
        <f t="shared" si="0"/>
        <v>0</v>
      </c>
      <c r="AN7" s="29">
        <f t="shared" si="0"/>
        <v>0</v>
      </c>
      <c r="AO7" s="29">
        <f t="shared" si="0"/>
        <v>0</v>
      </c>
      <c r="AP7" s="29">
        <f t="shared" si="0"/>
        <v>0</v>
      </c>
      <c r="AQ7" s="29">
        <f t="shared" si="0"/>
        <v>0</v>
      </c>
      <c r="AR7" s="29">
        <f t="shared" si="0"/>
        <v>0</v>
      </c>
      <c r="AS7" s="29">
        <f t="shared" ref="AS7" si="1">SUM(AS9:AS87)</f>
        <v>0</v>
      </c>
    </row>
    <row r="8" spans="1:46" x14ac:dyDescent="0.2">
      <c r="A8" s="14" t="s">
        <v>30</v>
      </c>
      <c r="B8" s="14" t="s">
        <v>22</v>
      </c>
      <c r="C8" s="14" t="s">
        <v>54</v>
      </c>
      <c r="D8" s="14" t="s">
        <v>55</v>
      </c>
      <c r="E8" s="27"/>
      <c r="F8" s="14" t="s">
        <v>54</v>
      </c>
      <c r="G8" s="14" t="s">
        <v>55</v>
      </c>
      <c r="H8" s="27"/>
      <c r="I8" s="14" t="s">
        <v>54</v>
      </c>
      <c r="J8" s="14" t="s">
        <v>55</v>
      </c>
      <c r="K8" s="27"/>
      <c r="L8" s="14" t="s">
        <v>54</v>
      </c>
      <c r="M8" s="14" t="s">
        <v>55</v>
      </c>
      <c r="N8" s="27"/>
      <c r="O8" s="14" t="s">
        <v>54</v>
      </c>
      <c r="P8" s="14" t="s">
        <v>55</v>
      </c>
      <c r="Q8" s="27"/>
      <c r="R8" s="14" t="s">
        <v>54</v>
      </c>
      <c r="S8" s="14" t="s">
        <v>55</v>
      </c>
      <c r="T8" s="27"/>
      <c r="U8" s="14" t="s">
        <v>54</v>
      </c>
      <c r="V8" s="14" t="s">
        <v>55</v>
      </c>
      <c r="W8" s="27"/>
      <c r="X8" s="14" t="s">
        <v>54</v>
      </c>
      <c r="Y8" s="14" t="s">
        <v>55</v>
      </c>
      <c r="Z8" s="27"/>
      <c r="AA8" s="14" t="s">
        <v>54</v>
      </c>
      <c r="AB8" s="14" t="s">
        <v>55</v>
      </c>
      <c r="AC8" s="27"/>
      <c r="AD8" s="14" t="s">
        <v>54</v>
      </c>
      <c r="AE8" s="14" t="s">
        <v>55</v>
      </c>
      <c r="AF8" s="27"/>
      <c r="AG8" s="14" t="s">
        <v>54</v>
      </c>
      <c r="AH8" s="14" t="s">
        <v>55</v>
      </c>
      <c r="AI8" s="27"/>
      <c r="AJ8" s="14" t="s">
        <v>54</v>
      </c>
      <c r="AK8" s="14" t="s">
        <v>55</v>
      </c>
      <c r="AL8" s="27"/>
      <c r="AM8" s="14" t="s">
        <v>54</v>
      </c>
      <c r="AN8" s="14" t="s">
        <v>55</v>
      </c>
      <c r="AO8" s="27"/>
      <c r="AP8" s="14" t="s">
        <v>54</v>
      </c>
      <c r="AQ8" s="14" t="s">
        <v>55</v>
      </c>
      <c r="AR8" s="27"/>
      <c r="AS8" s="28" t="s">
        <v>17</v>
      </c>
      <c r="AT8" s="28" t="s">
        <v>23</v>
      </c>
    </row>
    <row r="9" spans="1:46" x14ac:dyDescent="0.2">
      <c r="A9" s="14" t="s">
        <v>31</v>
      </c>
      <c r="B9" s="14" t="s">
        <v>56</v>
      </c>
      <c r="C9" s="41">
        <v>0</v>
      </c>
      <c r="D9" s="42">
        <v>0</v>
      </c>
      <c r="E9" s="30">
        <f t="shared" ref="E9:E72" si="2">SUM(C9:D9)</f>
        <v>0</v>
      </c>
      <c r="F9" s="41">
        <v>0</v>
      </c>
      <c r="G9" s="42">
        <v>0</v>
      </c>
      <c r="H9" s="30">
        <f t="shared" ref="H9:H72" si="3">SUM(F9:G9)</f>
        <v>0</v>
      </c>
      <c r="I9" s="41">
        <v>0</v>
      </c>
      <c r="J9" s="42">
        <v>0</v>
      </c>
      <c r="K9" s="30">
        <f t="shared" ref="K9:K72" si="4">SUM(I9:J9)</f>
        <v>0</v>
      </c>
      <c r="L9" s="41">
        <v>0</v>
      </c>
      <c r="M9" s="42">
        <v>0</v>
      </c>
      <c r="N9" s="30">
        <f t="shared" ref="N9:N72" si="5">SUM(L9:M9)</f>
        <v>0</v>
      </c>
      <c r="O9" s="41">
        <v>0</v>
      </c>
      <c r="P9" s="42">
        <v>0</v>
      </c>
      <c r="Q9" s="30">
        <f t="shared" ref="Q9:Q72" si="6">SUM(O9:P9)</f>
        <v>0</v>
      </c>
      <c r="R9" s="41">
        <v>0</v>
      </c>
      <c r="S9" s="42">
        <v>0</v>
      </c>
      <c r="T9" s="30">
        <f t="shared" ref="T9:T72" si="7">SUM(R9:S9)</f>
        <v>0</v>
      </c>
      <c r="U9" s="41">
        <v>0</v>
      </c>
      <c r="V9" s="42">
        <v>0</v>
      </c>
      <c r="W9" s="30">
        <f t="shared" ref="W9:W72" si="8">SUM(U9:V9)</f>
        <v>0</v>
      </c>
      <c r="X9" s="41">
        <v>0</v>
      </c>
      <c r="Y9" s="42">
        <v>0</v>
      </c>
      <c r="Z9" s="30">
        <f t="shared" ref="Z9:Z72" si="9">SUM(X9:Y9)</f>
        <v>0</v>
      </c>
      <c r="AA9" s="41">
        <v>0</v>
      </c>
      <c r="AB9" s="42">
        <v>0</v>
      </c>
      <c r="AC9" s="30">
        <f t="shared" ref="AC9:AC72" si="10">SUM(AA9:AB9)</f>
        <v>0</v>
      </c>
      <c r="AD9" s="41">
        <v>0</v>
      </c>
      <c r="AE9" s="42">
        <v>0</v>
      </c>
      <c r="AF9" s="30">
        <f t="shared" ref="AF9:AF72" si="11">SUM(AD9:AE9)</f>
        <v>0</v>
      </c>
      <c r="AG9" s="41">
        <v>0</v>
      </c>
      <c r="AH9" s="42">
        <v>0</v>
      </c>
      <c r="AI9" s="30">
        <f t="shared" ref="AI9:AI72" si="12">SUM(AG9:AH9)</f>
        <v>0</v>
      </c>
      <c r="AJ9" s="41">
        <v>0</v>
      </c>
      <c r="AK9" s="42">
        <v>0</v>
      </c>
      <c r="AL9" s="30">
        <f t="shared" ref="AL9:AL72" si="13">SUM(AJ9:AK9)</f>
        <v>0</v>
      </c>
      <c r="AM9" s="41">
        <v>0</v>
      </c>
      <c r="AN9" s="42">
        <v>0</v>
      </c>
      <c r="AO9" s="30">
        <f t="shared" ref="AO9:AO72" si="14">SUM(AM9:AN9)</f>
        <v>0</v>
      </c>
      <c r="AP9" s="41">
        <v>0</v>
      </c>
      <c r="AQ9" s="42">
        <v>0</v>
      </c>
      <c r="AR9" s="30">
        <f t="shared" ref="AR9" si="15">SUM(AP9:AQ9)</f>
        <v>0</v>
      </c>
      <c r="AS9" s="29">
        <f>SUM(E9,H9,K9,N9,Q9,T9,W9,Z9,AC9,AF9,AI9,AL9,AO9,AR9)</f>
        <v>0</v>
      </c>
      <c r="AT9" s="28" t="str">
        <f>IF(AS9&gt;0,"Ada","Tidak Ada")</f>
        <v>Tidak Ada</v>
      </c>
    </row>
    <row r="10" spans="1:46" x14ac:dyDescent="0.2">
      <c r="A10" s="14" t="s">
        <v>31</v>
      </c>
      <c r="B10" s="14" t="s">
        <v>57</v>
      </c>
      <c r="C10" s="41">
        <v>0</v>
      </c>
      <c r="D10" s="42">
        <v>0</v>
      </c>
      <c r="E10" s="30">
        <f t="shared" si="2"/>
        <v>0</v>
      </c>
      <c r="F10" s="41">
        <v>0</v>
      </c>
      <c r="G10" s="42">
        <v>0</v>
      </c>
      <c r="H10" s="30">
        <f t="shared" si="3"/>
        <v>0</v>
      </c>
      <c r="I10" s="41">
        <v>0</v>
      </c>
      <c r="J10" s="42">
        <v>0</v>
      </c>
      <c r="K10" s="30">
        <f t="shared" si="4"/>
        <v>0</v>
      </c>
      <c r="L10" s="41">
        <v>0</v>
      </c>
      <c r="M10" s="42">
        <v>0</v>
      </c>
      <c r="N10" s="30">
        <f t="shared" si="5"/>
        <v>0</v>
      </c>
      <c r="O10" s="41">
        <v>0</v>
      </c>
      <c r="P10" s="42">
        <v>0</v>
      </c>
      <c r="Q10" s="30">
        <f t="shared" si="6"/>
        <v>0</v>
      </c>
      <c r="R10" s="41">
        <v>0</v>
      </c>
      <c r="S10" s="42">
        <v>0</v>
      </c>
      <c r="T10" s="30">
        <f t="shared" si="7"/>
        <v>0</v>
      </c>
      <c r="U10" s="41">
        <v>0</v>
      </c>
      <c r="V10" s="42">
        <v>0</v>
      </c>
      <c r="W10" s="30">
        <f t="shared" si="8"/>
        <v>0</v>
      </c>
      <c r="X10" s="41">
        <v>0</v>
      </c>
      <c r="Y10" s="42">
        <v>0</v>
      </c>
      <c r="Z10" s="30">
        <f t="shared" si="9"/>
        <v>0</v>
      </c>
      <c r="AA10" s="41">
        <v>0</v>
      </c>
      <c r="AB10" s="42">
        <v>0</v>
      </c>
      <c r="AC10" s="30">
        <f t="shared" si="10"/>
        <v>0</v>
      </c>
      <c r="AD10" s="41">
        <v>0</v>
      </c>
      <c r="AE10" s="42">
        <v>0</v>
      </c>
      <c r="AF10" s="30">
        <f t="shared" si="11"/>
        <v>0</v>
      </c>
      <c r="AG10" s="41">
        <v>0</v>
      </c>
      <c r="AH10" s="42">
        <v>0</v>
      </c>
      <c r="AI10" s="30">
        <f t="shared" si="12"/>
        <v>0</v>
      </c>
      <c r="AJ10" s="41">
        <v>0</v>
      </c>
      <c r="AK10" s="42">
        <v>0</v>
      </c>
      <c r="AL10" s="30">
        <f t="shared" si="13"/>
        <v>0</v>
      </c>
      <c r="AM10" s="41">
        <v>0</v>
      </c>
      <c r="AN10" s="42">
        <v>0</v>
      </c>
      <c r="AO10" s="30">
        <f t="shared" si="14"/>
        <v>0</v>
      </c>
      <c r="AP10" s="41">
        <v>0</v>
      </c>
      <c r="AQ10" s="42">
        <v>0</v>
      </c>
      <c r="AR10" s="30">
        <f t="shared" ref="AR10:AR73" si="16">SUM(AP10:AQ10)</f>
        <v>0</v>
      </c>
      <c r="AS10" s="29">
        <f t="shared" ref="AS10:AS73" si="17">SUM(E10,H10,K10,N10,Q10,T10,W10,Z10,AC10,AF10,AI10,AL10,AO10,AR10)</f>
        <v>0</v>
      </c>
      <c r="AT10" s="28" t="str">
        <f t="shared" ref="AT10:AT37" si="18">IF(AS10&gt;0,"Ada","Tidak Ada")</f>
        <v>Tidak Ada</v>
      </c>
    </row>
    <row r="11" spans="1:46" x14ac:dyDescent="0.2">
      <c r="A11" s="14" t="s">
        <v>31</v>
      </c>
      <c r="B11" s="14" t="s">
        <v>58</v>
      </c>
      <c r="C11" s="41">
        <v>0</v>
      </c>
      <c r="D11" s="42">
        <v>0</v>
      </c>
      <c r="E11" s="30">
        <f t="shared" si="2"/>
        <v>0</v>
      </c>
      <c r="F11" s="41">
        <v>0</v>
      </c>
      <c r="G11" s="42">
        <v>0</v>
      </c>
      <c r="H11" s="30">
        <f t="shared" si="3"/>
        <v>0</v>
      </c>
      <c r="I11" s="41">
        <v>0</v>
      </c>
      <c r="J11" s="42">
        <v>0</v>
      </c>
      <c r="K11" s="30">
        <f t="shared" si="4"/>
        <v>0</v>
      </c>
      <c r="L11" s="41">
        <v>0</v>
      </c>
      <c r="M11" s="42">
        <v>0</v>
      </c>
      <c r="N11" s="30">
        <f t="shared" si="5"/>
        <v>0</v>
      </c>
      <c r="O11" s="41">
        <v>0</v>
      </c>
      <c r="P11" s="42">
        <v>0</v>
      </c>
      <c r="Q11" s="30">
        <f t="shared" si="6"/>
        <v>0</v>
      </c>
      <c r="R11" s="41">
        <v>0</v>
      </c>
      <c r="S11" s="42">
        <v>0</v>
      </c>
      <c r="T11" s="30">
        <f t="shared" si="7"/>
        <v>0</v>
      </c>
      <c r="U11" s="41">
        <v>0</v>
      </c>
      <c r="V11" s="42">
        <v>0</v>
      </c>
      <c r="W11" s="30">
        <f t="shared" si="8"/>
        <v>0</v>
      </c>
      <c r="X11" s="41">
        <v>0</v>
      </c>
      <c r="Y11" s="42">
        <v>0</v>
      </c>
      <c r="Z11" s="30">
        <f t="shared" si="9"/>
        <v>0</v>
      </c>
      <c r="AA11" s="41">
        <v>0</v>
      </c>
      <c r="AB11" s="42">
        <v>0</v>
      </c>
      <c r="AC11" s="30">
        <f t="shared" si="10"/>
        <v>0</v>
      </c>
      <c r="AD11" s="41">
        <v>0</v>
      </c>
      <c r="AE11" s="42">
        <v>0</v>
      </c>
      <c r="AF11" s="30">
        <f t="shared" si="11"/>
        <v>0</v>
      </c>
      <c r="AG11" s="41">
        <v>0</v>
      </c>
      <c r="AH11" s="42">
        <v>0</v>
      </c>
      <c r="AI11" s="30">
        <f t="shared" si="12"/>
        <v>0</v>
      </c>
      <c r="AJ11" s="41">
        <v>0</v>
      </c>
      <c r="AK11" s="42">
        <v>0</v>
      </c>
      <c r="AL11" s="30">
        <f t="shared" si="13"/>
        <v>0</v>
      </c>
      <c r="AM11" s="41">
        <v>0</v>
      </c>
      <c r="AN11" s="42">
        <v>0</v>
      </c>
      <c r="AO11" s="30">
        <f t="shared" si="14"/>
        <v>0</v>
      </c>
      <c r="AP11" s="41">
        <v>0</v>
      </c>
      <c r="AQ11" s="42">
        <v>0</v>
      </c>
      <c r="AR11" s="30">
        <f t="shared" si="16"/>
        <v>0</v>
      </c>
      <c r="AS11" s="29">
        <f t="shared" si="17"/>
        <v>0</v>
      </c>
      <c r="AT11" s="28" t="str">
        <f t="shared" si="18"/>
        <v>Tidak Ada</v>
      </c>
    </row>
    <row r="12" spans="1:46" x14ac:dyDescent="0.2">
      <c r="A12" s="14" t="s">
        <v>31</v>
      </c>
      <c r="B12" s="14" t="s">
        <v>59</v>
      </c>
      <c r="C12" s="41">
        <v>0</v>
      </c>
      <c r="D12" s="42">
        <v>0</v>
      </c>
      <c r="E12" s="30">
        <f t="shared" si="2"/>
        <v>0</v>
      </c>
      <c r="F12" s="41">
        <v>0</v>
      </c>
      <c r="G12" s="42">
        <v>0</v>
      </c>
      <c r="H12" s="30">
        <f t="shared" si="3"/>
        <v>0</v>
      </c>
      <c r="I12" s="41">
        <v>0</v>
      </c>
      <c r="J12" s="42">
        <v>0</v>
      </c>
      <c r="K12" s="30">
        <f t="shared" si="4"/>
        <v>0</v>
      </c>
      <c r="L12" s="41">
        <v>0</v>
      </c>
      <c r="M12" s="42">
        <v>0</v>
      </c>
      <c r="N12" s="30">
        <f t="shared" si="5"/>
        <v>0</v>
      </c>
      <c r="O12" s="41">
        <v>0</v>
      </c>
      <c r="P12" s="42">
        <v>0</v>
      </c>
      <c r="Q12" s="30">
        <f t="shared" si="6"/>
        <v>0</v>
      </c>
      <c r="R12" s="41">
        <v>0</v>
      </c>
      <c r="S12" s="42">
        <v>0</v>
      </c>
      <c r="T12" s="30">
        <f t="shared" si="7"/>
        <v>0</v>
      </c>
      <c r="U12" s="41">
        <v>0</v>
      </c>
      <c r="V12" s="42">
        <v>0</v>
      </c>
      <c r="W12" s="30">
        <f t="shared" si="8"/>
        <v>0</v>
      </c>
      <c r="X12" s="41">
        <v>0</v>
      </c>
      <c r="Y12" s="42">
        <v>0</v>
      </c>
      <c r="Z12" s="30">
        <f t="shared" si="9"/>
        <v>0</v>
      </c>
      <c r="AA12" s="41">
        <v>0</v>
      </c>
      <c r="AB12" s="42">
        <v>0</v>
      </c>
      <c r="AC12" s="30">
        <f t="shared" si="10"/>
        <v>0</v>
      </c>
      <c r="AD12" s="41">
        <v>0</v>
      </c>
      <c r="AE12" s="42">
        <v>0</v>
      </c>
      <c r="AF12" s="30">
        <f t="shared" si="11"/>
        <v>0</v>
      </c>
      <c r="AG12" s="41">
        <v>0</v>
      </c>
      <c r="AH12" s="42">
        <v>0</v>
      </c>
      <c r="AI12" s="30">
        <f t="shared" si="12"/>
        <v>0</v>
      </c>
      <c r="AJ12" s="41">
        <v>0</v>
      </c>
      <c r="AK12" s="42">
        <v>0</v>
      </c>
      <c r="AL12" s="30">
        <f t="shared" si="13"/>
        <v>0</v>
      </c>
      <c r="AM12" s="41">
        <v>0</v>
      </c>
      <c r="AN12" s="42">
        <v>0</v>
      </c>
      <c r="AO12" s="30">
        <f t="shared" si="14"/>
        <v>0</v>
      </c>
      <c r="AP12" s="41">
        <v>0</v>
      </c>
      <c r="AQ12" s="42">
        <v>0</v>
      </c>
      <c r="AR12" s="30">
        <f t="shared" si="16"/>
        <v>0</v>
      </c>
      <c r="AS12" s="29">
        <f t="shared" si="17"/>
        <v>0</v>
      </c>
      <c r="AT12" s="28" t="str">
        <f t="shared" si="18"/>
        <v>Tidak Ada</v>
      </c>
    </row>
    <row r="13" spans="1:46" x14ac:dyDescent="0.2">
      <c r="A13" s="14" t="s">
        <v>31</v>
      </c>
      <c r="B13" s="14" t="s">
        <v>60</v>
      </c>
      <c r="C13" s="41">
        <v>0</v>
      </c>
      <c r="D13" s="42">
        <v>0</v>
      </c>
      <c r="E13" s="30">
        <f t="shared" si="2"/>
        <v>0</v>
      </c>
      <c r="F13" s="41">
        <v>0</v>
      </c>
      <c r="G13" s="42">
        <v>0</v>
      </c>
      <c r="H13" s="30">
        <f t="shared" si="3"/>
        <v>0</v>
      </c>
      <c r="I13" s="41">
        <v>0</v>
      </c>
      <c r="J13" s="42">
        <v>0</v>
      </c>
      <c r="K13" s="30">
        <f t="shared" si="4"/>
        <v>0</v>
      </c>
      <c r="L13" s="41">
        <v>0</v>
      </c>
      <c r="M13" s="42">
        <v>0</v>
      </c>
      <c r="N13" s="30">
        <f t="shared" si="5"/>
        <v>0</v>
      </c>
      <c r="O13" s="41">
        <v>0</v>
      </c>
      <c r="P13" s="42">
        <v>0</v>
      </c>
      <c r="Q13" s="30">
        <f t="shared" si="6"/>
        <v>0</v>
      </c>
      <c r="R13" s="41">
        <v>0</v>
      </c>
      <c r="S13" s="42">
        <v>0</v>
      </c>
      <c r="T13" s="30">
        <f t="shared" si="7"/>
        <v>0</v>
      </c>
      <c r="U13" s="41">
        <v>0</v>
      </c>
      <c r="V13" s="42">
        <v>0</v>
      </c>
      <c r="W13" s="30">
        <f t="shared" si="8"/>
        <v>0</v>
      </c>
      <c r="X13" s="41">
        <v>0</v>
      </c>
      <c r="Y13" s="42">
        <v>0</v>
      </c>
      <c r="Z13" s="30">
        <f t="shared" si="9"/>
        <v>0</v>
      </c>
      <c r="AA13" s="41">
        <v>0</v>
      </c>
      <c r="AB13" s="42">
        <v>0</v>
      </c>
      <c r="AC13" s="30">
        <f t="shared" si="10"/>
        <v>0</v>
      </c>
      <c r="AD13" s="41">
        <v>0</v>
      </c>
      <c r="AE13" s="42">
        <v>0</v>
      </c>
      <c r="AF13" s="30">
        <f t="shared" si="11"/>
        <v>0</v>
      </c>
      <c r="AG13" s="41">
        <v>0</v>
      </c>
      <c r="AH13" s="42">
        <v>0</v>
      </c>
      <c r="AI13" s="30">
        <f t="shared" si="12"/>
        <v>0</v>
      </c>
      <c r="AJ13" s="41">
        <v>0</v>
      </c>
      <c r="AK13" s="42">
        <v>0</v>
      </c>
      <c r="AL13" s="30">
        <f t="shared" si="13"/>
        <v>0</v>
      </c>
      <c r="AM13" s="41">
        <v>0</v>
      </c>
      <c r="AN13" s="42">
        <v>0</v>
      </c>
      <c r="AO13" s="30">
        <f t="shared" si="14"/>
        <v>0</v>
      </c>
      <c r="AP13" s="41">
        <v>0</v>
      </c>
      <c r="AQ13" s="42">
        <v>0</v>
      </c>
      <c r="AR13" s="30">
        <f t="shared" si="16"/>
        <v>0</v>
      </c>
      <c r="AS13" s="29">
        <f t="shared" si="17"/>
        <v>0</v>
      </c>
      <c r="AT13" s="28" t="str">
        <f t="shared" si="18"/>
        <v>Tidak Ada</v>
      </c>
    </row>
    <row r="14" spans="1:46" x14ac:dyDescent="0.2">
      <c r="A14" s="14" t="s">
        <v>31</v>
      </c>
      <c r="B14" s="14" t="s">
        <v>37</v>
      </c>
      <c r="C14" s="41">
        <v>0</v>
      </c>
      <c r="D14" s="42">
        <v>0</v>
      </c>
      <c r="E14" s="30">
        <f t="shared" si="2"/>
        <v>0</v>
      </c>
      <c r="F14" s="41">
        <v>0</v>
      </c>
      <c r="G14" s="42">
        <v>0</v>
      </c>
      <c r="H14" s="30">
        <f t="shared" si="3"/>
        <v>0</v>
      </c>
      <c r="I14" s="41">
        <v>0</v>
      </c>
      <c r="J14" s="42">
        <v>0</v>
      </c>
      <c r="K14" s="30">
        <f t="shared" si="4"/>
        <v>0</v>
      </c>
      <c r="L14" s="41">
        <v>0</v>
      </c>
      <c r="M14" s="42">
        <v>0</v>
      </c>
      <c r="N14" s="30">
        <f t="shared" si="5"/>
        <v>0</v>
      </c>
      <c r="O14" s="41">
        <v>0</v>
      </c>
      <c r="P14" s="42">
        <v>0</v>
      </c>
      <c r="Q14" s="30">
        <f t="shared" si="6"/>
        <v>0</v>
      </c>
      <c r="R14" s="41">
        <v>0</v>
      </c>
      <c r="S14" s="42">
        <v>0</v>
      </c>
      <c r="T14" s="30">
        <f t="shared" si="7"/>
        <v>0</v>
      </c>
      <c r="U14" s="41">
        <v>0</v>
      </c>
      <c r="V14" s="42">
        <v>0</v>
      </c>
      <c r="W14" s="30">
        <f t="shared" si="8"/>
        <v>0</v>
      </c>
      <c r="X14" s="41">
        <v>0</v>
      </c>
      <c r="Y14" s="42">
        <v>0</v>
      </c>
      <c r="Z14" s="30">
        <f t="shared" si="9"/>
        <v>0</v>
      </c>
      <c r="AA14" s="41">
        <v>0</v>
      </c>
      <c r="AB14" s="42">
        <v>0</v>
      </c>
      <c r="AC14" s="30">
        <f t="shared" si="10"/>
        <v>0</v>
      </c>
      <c r="AD14" s="41">
        <v>0</v>
      </c>
      <c r="AE14" s="42">
        <v>0</v>
      </c>
      <c r="AF14" s="30">
        <f t="shared" si="11"/>
        <v>0</v>
      </c>
      <c r="AG14" s="41">
        <v>0</v>
      </c>
      <c r="AH14" s="42">
        <v>0</v>
      </c>
      <c r="AI14" s="30">
        <f t="shared" si="12"/>
        <v>0</v>
      </c>
      <c r="AJ14" s="41">
        <v>0</v>
      </c>
      <c r="AK14" s="42">
        <v>0</v>
      </c>
      <c r="AL14" s="30">
        <f t="shared" si="13"/>
        <v>0</v>
      </c>
      <c r="AM14" s="41">
        <v>0</v>
      </c>
      <c r="AN14" s="42">
        <v>0</v>
      </c>
      <c r="AO14" s="30">
        <f t="shared" si="14"/>
        <v>0</v>
      </c>
      <c r="AP14" s="41">
        <v>0</v>
      </c>
      <c r="AQ14" s="42">
        <v>0</v>
      </c>
      <c r="AR14" s="30">
        <f t="shared" si="16"/>
        <v>0</v>
      </c>
      <c r="AS14" s="29">
        <f t="shared" si="17"/>
        <v>0</v>
      </c>
      <c r="AT14" s="28" t="str">
        <f t="shared" si="18"/>
        <v>Tidak Ada</v>
      </c>
    </row>
    <row r="15" spans="1:46" x14ac:dyDescent="0.2">
      <c r="A15" s="14" t="s">
        <v>31</v>
      </c>
      <c r="B15" s="14" t="s">
        <v>38</v>
      </c>
      <c r="C15" s="41">
        <v>0</v>
      </c>
      <c r="D15" s="42">
        <v>0</v>
      </c>
      <c r="E15" s="30">
        <f t="shared" si="2"/>
        <v>0</v>
      </c>
      <c r="F15" s="41">
        <v>0</v>
      </c>
      <c r="G15" s="42">
        <v>0</v>
      </c>
      <c r="H15" s="30">
        <f t="shared" si="3"/>
        <v>0</v>
      </c>
      <c r="I15" s="41">
        <v>0</v>
      </c>
      <c r="J15" s="42">
        <v>0</v>
      </c>
      <c r="K15" s="30">
        <f t="shared" si="4"/>
        <v>0</v>
      </c>
      <c r="L15" s="41">
        <v>0</v>
      </c>
      <c r="M15" s="42">
        <v>0</v>
      </c>
      <c r="N15" s="30">
        <f t="shared" si="5"/>
        <v>0</v>
      </c>
      <c r="O15" s="41">
        <v>0</v>
      </c>
      <c r="P15" s="42">
        <v>0</v>
      </c>
      <c r="Q15" s="30">
        <f t="shared" si="6"/>
        <v>0</v>
      </c>
      <c r="R15" s="41">
        <v>0</v>
      </c>
      <c r="S15" s="42">
        <v>0</v>
      </c>
      <c r="T15" s="30">
        <f t="shared" si="7"/>
        <v>0</v>
      </c>
      <c r="U15" s="41">
        <v>0</v>
      </c>
      <c r="V15" s="42">
        <v>0</v>
      </c>
      <c r="W15" s="30">
        <f t="shared" si="8"/>
        <v>0</v>
      </c>
      <c r="X15" s="41">
        <v>0</v>
      </c>
      <c r="Y15" s="42">
        <v>0</v>
      </c>
      <c r="Z15" s="30">
        <f t="shared" si="9"/>
        <v>0</v>
      </c>
      <c r="AA15" s="41">
        <v>0</v>
      </c>
      <c r="AB15" s="42">
        <v>0</v>
      </c>
      <c r="AC15" s="30">
        <f t="shared" si="10"/>
        <v>0</v>
      </c>
      <c r="AD15" s="41">
        <v>0</v>
      </c>
      <c r="AE15" s="42">
        <v>0</v>
      </c>
      <c r="AF15" s="30">
        <f t="shared" si="11"/>
        <v>0</v>
      </c>
      <c r="AG15" s="41">
        <v>0</v>
      </c>
      <c r="AH15" s="42">
        <v>0</v>
      </c>
      <c r="AI15" s="30">
        <f t="shared" si="12"/>
        <v>0</v>
      </c>
      <c r="AJ15" s="41">
        <v>0</v>
      </c>
      <c r="AK15" s="42">
        <v>0</v>
      </c>
      <c r="AL15" s="30">
        <f t="shared" si="13"/>
        <v>0</v>
      </c>
      <c r="AM15" s="41">
        <v>0</v>
      </c>
      <c r="AN15" s="42">
        <v>0</v>
      </c>
      <c r="AO15" s="30">
        <f t="shared" si="14"/>
        <v>0</v>
      </c>
      <c r="AP15" s="41">
        <v>0</v>
      </c>
      <c r="AQ15" s="42">
        <v>0</v>
      </c>
      <c r="AR15" s="30">
        <f t="shared" si="16"/>
        <v>0</v>
      </c>
      <c r="AS15" s="29">
        <f t="shared" si="17"/>
        <v>0</v>
      </c>
      <c r="AT15" s="28" t="str">
        <f t="shared" si="18"/>
        <v>Tidak Ada</v>
      </c>
    </row>
    <row r="16" spans="1:46" x14ac:dyDescent="0.2">
      <c r="A16" s="14" t="s">
        <v>31</v>
      </c>
      <c r="B16" s="14" t="s">
        <v>39</v>
      </c>
      <c r="C16" s="41">
        <v>0</v>
      </c>
      <c r="D16" s="42">
        <v>0</v>
      </c>
      <c r="E16" s="30">
        <f t="shared" si="2"/>
        <v>0</v>
      </c>
      <c r="F16" s="41">
        <v>0</v>
      </c>
      <c r="G16" s="42">
        <v>0</v>
      </c>
      <c r="H16" s="30">
        <f t="shared" si="3"/>
        <v>0</v>
      </c>
      <c r="I16" s="41">
        <v>0</v>
      </c>
      <c r="J16" s="42">
        <v>0</v>
      </c>
      <c r="K16" s="30">
        <f t="shared" si="4"/>
        <v>0</v>
      </c>
      <c r="L16" s="41">
        <v>0</v>
      </c>
      <c r="M16" s="42">
        <v>0</v>
      </c>
      <c r="N16" s="30">
        <f t="shared" si="5"/>
        <v>0</v>
      </c>
      <c r="O16" s="41">
        <v>0</v>
      </c>
      <c r="P16" s="42">
        <v>0</v>
      </c>
      <c r="Q16" s="30">
        <f t="shared" si="6"/>
        <v>0</v>
      </c>
      <c r="R16" s="41">
        <v>0</v>
      </c>
      <c r="S16" s="42">
        <v>0</v>
      </c>
      <c r="T16" s="30">
        <f t="shared" si="7"/>
        <v>0</v>
      </c>
      <c r="U16" s="41">
        <v>0</v>
      </c>
      <c r="V16" s="42">
        <v>0</v>
      </c>
      <c r="W16" s="30">
        <f t="shared" si="8"/>
        <v>0</v>
      </c>
      <c r="X16" s="41">
        <v>0</v>
      </c>
      <c r="Y16" s="42">
        <v>0</v>
      </c>
      <c r="Z16" s="30">
        <f t="shared" si="9"/>
        <v>0</v>
      </c>
      <c r="AA16" s="41">
        <v>0</v>
      </c>
      <c r="AB16" s="42">
        <v>0</v>
      </c>
      <c r="AC16" s="30">
        <f t="shared" si="10"/>
        <v>0</v>
      </c>
      <c r="AD16" s="41">
        <v>0</v>
      </c>
      <c r="AE16" s="42">
        <v>0</v>
      </c>
      <c r="AF16" s="30">
        <f t="shared" si="11"/>
        <v>0</v>
      </c>
      <c r="AG16" s="41">
        <v>0</v>
      </c>
      <c r="AH16" s="42">
        <v>0</v>
      </c>
      <c r="AI16" s="30">
        <f t="shared" si="12"/>
        <v>0</v>
      </c>
      <c r="AJ16" s="41">
        <v>0</v>
      </c>
      <c r="AK16" s="42">
        <v>0</v>
      </c>
      <c r="AL16" s="30">
        <f t="shared" si="13"/>
        <v>0</v>
      </c>
      <c r="AM16" s="41">
        <v>0</v>
      </c>
      <c r="AN16" s="42">
        <v>0</v>
      </c>
      <c r="AO16" s="30">
        <f t="shared" si="14"/>
        <v>0</v>
      </c>
      <c r="AP16" s="41">
        <v>0</v>
      </c>
      <c r="AQ16" s="42">
        <v>0</v>
      </c>
      <c r="AR16" s="30">
        <f t="shared" si="16"/>
        <v>0</v>
      </c>
      <c r="AS16" s="29">
        <f t="shared" si="17"/>
        <v>0</v>
      </c>
      <c r="AT16" s="28" t="str">
        <f t="shared" si="18"/>
        <v>Tidak Ada</v>
      </c>
    </row>
    <row r="17" spans="1:46" x14ac:dyDescent="0.2">
      <c r="A17" s="14" t="s">
        <v>31</v>
      </c>
      <c r="B17" s="14" t="s">
        <v>61</v>
      </c>
      <c r="C17" s="42">
        <v>0</v>
      </c>
      <c r="D17" s="41">
        <v>0</v>
      </c>
      <c r="E17" s="30">
        <f t="shared" si="2"/>
        <v>0</v>
      </c>
      <c r="F17" s="42">
        <v>0</v>
      </c>
      <c r="G17" s="41">
        <v>0</v>
      </c>
      <c r="H17" s="30">
        <f t="shared" si="3"/>
        <v>0</v>
      </c>
      <c r="I17" s="42">
        <v>0</v>
      </c>
      <c r="J17" s="41">
        <v>0</v>
      </c>
      <c r="K17" s="30">
        <f t="shared" si="4"/>
        <v>0</v>
      </c>
      <c r="L17" s="42">
        <v>0</v>
      </c>
      <c r="M17" s="41">
        <v>0</v>
      </c>
      <c r="N17" s="30">
        <f t="shared" si="5"/>
        <v>0</v>
      </c>
      <c r="O17" s="42">
        <v>0</v>
      </c>
      <c r="P17" s="41">
        <v>0</v>
      </c>
      <c r="Q17" s="30">
        <f t="shared" si="6"/>
        <v>0</v>
      </c>
      <c r="R17" s="42">
        <v>0</v>
      </c>
      <c r="S17" s="41">
        <v>0</v>
      </c>
      <c r="T17" s="30">
        <f t="shared" si="7"/>
        <v>0</v>
      </c>
      <c r="U17" s="42">
        <v>0</v>
      </c>
      <c r="V17" s="41">
        <v>0</v>
      </c>
      <c r="W17" s="30">
        <f t="shared" si="8"/>
        <v>0</v>
      </c>
      <c r="X17" s="42">
        <v>0</v>
      </c>
      <c r="Y17" s="41">
        <v>0</v>
      </c>
      <c r="Z17" s="30">
        <f t="shared" si="9"/>
        <v>0</v>
      </c>
      <c r="AA17" s="42">
        <v>0</v>
      </c>
      <c r="AB17" s="41">
        <v>0</v>
      </c>
      <c r="AC17" s="30">
        <f t="shared" si="10"/>
        <v>0</v>
      </c>
      <c r="AD17" s="42">
        <v>0</v>
      </c>
      <c r="AE17" s="41">
        <v>0</v>
      </c>
      <c r="AF17" s="30">
        <f t="shared" si="11"/>
        <v>0</v>
      </c>
      <c r="AG17" s="42">
        <v>0</v>
      </c>
      <c r="AH17" s="41">
        <v>0</v>
      </c>
      <c r="AI17" s="30">
        <f t="shared" si="12"/>
        <v>0</v>
      </c>
      <c r="AJ17" s="42">
        <v>0</v>
      </c>
      <c r="AK17" s="41">
        <v>0</v>
      </c>
      <c r="AL17" s="30">
        <f t="shared" si="13"/>
        <v>0</v>
      </c>
      <c r="AM17" s="42">
        <v>0</v>
      </c>
      <c r="AN17" s="41">
        <v>0</v>
      </c>
      <c r="AO17" s="30">
        <f t="shared" si="14"/>
        <v>0</v>
      </c>
      <c r="AP17" s="42">
        <v>0</v>
      </c>
      <c r="AQ17" s="41">
        <v>0</v>
      </c>
      <c r="AR17" s="30">
        <f t="shared" si="16"/>
        <v>0</v>
      </c>
      <c r="AS17" s="29">
        <f t="shared" si="17"/>
        <v>0</v>
      </c>
      <c r="AT17" s="28" t="str">
        <f t="shared" si="18"/>
        <v>Tidak Ada</v>
      </c>
    </row>
    <row r="18" spans="1:46" x14ac:dyDescent="0.2">
      <c r="A18" s="14" t="s">
        <v>31</v>
      </c>
      <c r="B18" s="14" t="s">
        <v>24</v>
      </c>
      <c r="C18" s="42">
        <v>0</v>
      </c>
      <c r="D18" s="41">
        <v>0</v>
      </c>
      <c r="E18" s="30">
        <f t="shared" si="2"/>
        <v>0</v>
      </c>
      <c r="F18" s="42">
        <v>0</v>
      </c>
      <c r="G18" s="41">
        <v>0</v>
      </c>
      <c r="H18" s="30">
        <f t="shared" si="3"/>
        <v>0</v>
      </c>
      <c r="I18" s="42">
        <v>0</v>
      </c>
      <c r="J18" s="41">
        <v>0</v>
      </c>
      <c r="K18" s="30">
        <f t="shared" si="4"/>
        <v>0</v>
      </c>
      <c r="L18" s="42">
        <v>0</v>
      </c>
      <c r="M18" s="41">
        <v>0</v>
      </c>
      <c r="N18" s="30">
        <f t="shared" si="5"/>
        <v>0</v>
      </c>
      <c r="O18" s="42">
        <v>0</v>
      </c>
      <c r="P18" s="41">
        <v>0</v>
      </c>
      <c r="Q18" s="30">
        <f t="shared" si="6"/>
        <v>0</v>
      </c>
      <c r="R18" s="42">
        <v>0</v>
      </c>
      <c r="S18" s="41">
        <v>0</v>
      </c>
      <c r="T18" s="30">
        <f t="shared" si="7"/>
        <v>0</v>
      </c>
      <c r="U18" s="42">
        <v>0</v>
      </c>
      <c r="V18" s="41">
        <v>0</v>
      </c>
      <c r="W18" s="30">
        <f t="shared" si="8"/>
        <v>0</v>
      </c>
      <c r="X18" s="42">
        <v>0</v>
      </c>
      <c r="Y18" s="41">
        <v>0</v>
      </c>
      <c r="Z18" s="30">
        <f t="shared" si="9"/>
        <v>0</v>
      </c>
      <c r="AA18" s="42">
        <v>0</v>
      </c>
      <c r="AB18" s="41">
        <v>0</v>
      </c>
      <c r="AC18" s="30">
        <f t="shared" si="10"/>
        <v>0</v>
      </c>
      <c r="AD18" s="42">
        <v>0</v>
      </c>
      <c r="AE18" s="41">
        <v>0</v>
      </c>
      <c r="AF18" s="30">
        <f t="shared" si="11"/>
        <v>0</v>
      </c>
      <c r="AG18" s="42">
        <v>0</v>
      </c>
      <c r="AH18" s="41">
        <v>0</v>
      </c>
      <c r="AI18" s="30">
        <f t="shared" si="12"/>
        <v>0</v>
      </c>
      <c r="AJ18" s="42">
        <v>0</v>
      </c>
      <c r="AK18" s="41">
        <v>0</v>
      </c>
      <c r="AL18" s="30">
        <f t="shared" si="13"/>
        <v>0</v>
      </c>
      <c r="AM18" s="42">
        <v>0</v>
      </c>
      <c r="AN18" s="41">
        <v>0</v>
      </c>
      <c r="AO18" s="30">
        <f t="shared" si="14"/>
        <v>0</v>
      </c>
      <c r="AP18" s="42">
        <v>0</v>
      </c>
      <c r="AQ18" s="41">
        <v>0</v>
      </c>
      <c r="AR18" s="30">
        <f t="shared" si="16"/>
        <v>0</v>
      </c>
      <c r="AS18" s="29">
        <f t="shared" si="17"/>
        <v>0</v>
      </c>
      <c r="AT18" s="28" t="str">
        <f t="shared" si="18"/>
        <v>Tidak Ada</v>
      </c>
    </row>
    <row r="19" spans="1:46" x14ac:dyDescent="0.2">
      <c r="A19" s="14" t="s">
        <v>31</v>
      </c>
      <c r="B19" s="14" t="s">
        <v>62</v>
      </c>
      <c r="C19" s="42">
        <v>0</v>
      </c>
      <c r="D19" s="41">
        <v>0</v>
      </c>
      <c r="E19" s="30">
        <f t="shared" si="2"/>
        <v>0</v>
      </c>
      <c r="F19" s="42">
        <v>0</v>
      </c>
      <c r="G19" s="41">
        <v>0</v>
      </c>
      <c r="H19" s="30">
        <f t="shared" si="3"/>
        <v>0</v>
      </c>
      <c r="I19" s="42">
        <v>0</v>
      </c>
      <c r="J19" s="41">
        <v>0</v>
      </c>
      <c r="K19" s="30">
        <f t="shared" si="4"/>
        <v>0</v>
      </c>
      <c r="L19" s="42">
        <v>0</v>
      </c>
      <c r="M19" s="41">
        <v>0</v>
      </c>
      <c r="N19" s="30">
        <f t="shared" si="5"/>
        <v>0</v>
      </c>
      <c r="O19" s="42">
        <v>0</v>
      </c>
      <c r="P19" s="41">
        <v>0</v>
      </c>
      <c r="Q19" s="30">
        <f t="shared" si="6"/>
        <v>0</v>
      </c>
      <c r="R19" s="42">
        <v>0</v>
      </c>
      <c r="S19" s="41">
        <v>0</v>
      </c>
      <c r="T19" s="30">
        <f t="shared" si="7"/>
        <v>0</v>
      </c>
      <c r="U19" s="42">
        <v>0</v>
      </c>
      <c r="V19" s="41">
        <v>0</v>
      </c>
      <c r="W19" s="30">
        <f t="shared" si="8"/>
        <v>0</v>
      </c>
      <c r="X19" s="42">
        <v>0</v>
      </c>
      <c r="Y19" s="41">
        <v>0</v>
      </c>
      <c r="Z19" s="30">
        <f t="shared" si="9"/>
        <v>0</v>
      </c>
      <c r="AA19" s="42">
        <v>0</v>
      </c>
      <c r="AB19" s="41">
        <v>0</v>
      </c>
      <c r="AC19" s="30">
        <f t="shared" si="10"/>
        <v>0</v>
      </c>
      <c r="AD19" s="42">
        <v>0</v>
      </c>
      <c r="AE19" s="41">
        <v>0</v>
      </c>
      <c r="AF19" s="30">
        <f t="shared" si="11"/>
        <v>0</v>
      </c>
      <c r="AG19" s="42">
        <v>0</v>
      </c>
      <c r="AH19" s="41">
        <v>0</v>
      </c>
      <c r="AI19" s="30">
        <f t="shared" si="12"/>
        <v>0</v>
      </c>
      <c r="AJ19" s="42">
        <v>0</v>
      </c>
      <c r="AK19" s="41">
        <v>0</v>
      </c>
      <c r="AL19" s="30">
        <f t="shared" si="13"/>
        <v>0</v>
      </c>
      <c r="AM19" s="42">
        <v>0</v>
      </c>
      <c r="AN19" s="41">
        <v>0</v>
      </c>
      <c r="AO19" s="30">
        <f t="shared" si="14"/>
        <v>0</v>
      </c>
      <c r="AP19" s="42">
        <v>0</v>
      </c>
      <c r="AQ19" s="41">
        <v>0</v>
      </c>
      <c r="AR19" s="30">
        <f t="shared" si="16"/>
        <v>0</v>
      </c>
      <c r="AS19" s="29">
        <f t="shared" si="17"/>
        <v>0</v>
      </c>
      <c r="AT19" s="28" t="str">
        <f t="shared" si="18"/>
        <v>Tidak Ada</v>
      </c>
    </row>
    <row r="20" spans="1:46" x14ac:dyDescent="0.2">
      <c r="A20" s="14" t="s">
        <v>31</v>
      </c>
      <c r="B20" s="14" t="s">
        <v>63</v>
      </c>
      <c r="C20" s="42">
        <v>0</v>
      </c>
      <c r="D20" s="41">
        <v>0</v>
      </c>
      <c r="E20" s="30">
        <f t="shared" si="2"/>
        <v>0</v>
      </c>
      <c r="F20" s="42">
        <v>0</v>
      </c>
      <c r="G20" s="41">
        <v>0</v>
      </c>
      <c r="H20" s="30">
        <f t="shared" si="3"/>
        <v>0</v>
      </c>
      <c r="I20" s="42">
        <v>0</v>
      </c>
      <c r="J20" s="41">
        <v>0</v>
      </c>
      <c r="K20" s="30">
        <f t="shared" si="4"/>
        <v>0</v>
      </c>
      <c r="L20" s="42">
        <v>0</v>
      </c>
      <c r="M20" s="41">
        <v>0</v>
      </c>
      <c r="N20" s="30">
        <f t="shared" si="5"/>
        <v>0</v>
      </c>
      <c r="O20" s="42">
        <v>0</v>
      </c>
      <c r="P20" s="41">
        <v>0</v>
      </c>
      <c r="Q20" s="30">
        <f t="shared" si="6"/>
        <v>0</v>
      </c>
      <c r="R20" s="42">
        <v>0</v>
      </c>
      <c r="S20" s="41">
        <v>0</v>
      </c>
      <c r="T20" s="30">
        <f t="shared" si="7"/>
        <v>0</v>
      </c>
      <c r="U20" s="42">
        <v>0</v>
      </c>
      <c r="V20" s="41">
        <v>0</v>
      </c>
      <c r="W20" s="30">
        <f t="shared" si="8"/>
        <v>0</v>
      </c>
      <c r="X20" s="42">
        <v>0</v>
      </c>
      <c r="Y20" s="41">
        <v>0</v>
      </c>
      <c r="Z20" s="30">
        <f t="shared" si="9"/>
        <v>0</v>
      </c>
      <c r="AA20" s="42">
        <v>0</v>
      </c>
      <c r="AB20" s="41">
        <v>0</v>
      </c>
      <c r="AC20" s="30">
        <f t="shared" si="10"/>
        <v>0</v>
      </c>
      <c r="AD20" s="42">
        <v>0</v>
      </c>
      <c r="AE20" s="41">
        <v>0</v>
      </c>
      <c r="AF20" s="30">
        <f t="shared" si="11"/>
        <v>0</v>
      </c>
      <c r="AG20" s="42">
        <v>0</v>
      </c>
      <c r="AH20" s="41">
        <v>0</v>
      </c>
      <c r="AI20" s="30">
        <f t="shared" si="12"/>
        <v>0</v>
      </c>
      <c r="AJ20" s="42">
        <v>0</v>
      </c>
      <c r="AK20" s="41">
        <v>0</v>
      </c>
      <c r="AL20" s="30">
        <f t="shared" si="13"/>
        <v>0</v>
      </c>
      <c r="AM20" s="42">
        <v>0</v>
      </c>
      <c r="AN20" s="41">
        <v>0</v>
      </c>
      <c r="AO20" s="30">
        <f t="shared" si="14"/>
        <v>0</v>
      </c>
      <c r="AP20" s="42">
        <v>0</v>
      </c>
      <c r="AQ20" s="41">
        <v>0</v>
      </c>
      <c r="AR20" s="30">
        <f t="shared" si="16"/>
        <v>0</v>
      </c>
      <c r="AS20" s="29">
        <f t="shared" si="17"/>
        <v>0</v>
      </c>
      <c r="AT20" s="28" t="str">
        <f t="shared" si="18"/>
        <v>Tidak Ada</v>
      </c>
    </row>
    <row r="21" spans="1:46" x14ac:dyDescent="0.2">
      <c r="A21" s="14" t="s">
        <v>31</v>
      </c>
      <c r="B21" s="14" t="s">
        <v>64</v>
      </c>
      <c r="C21" s="42">
        <v>0</v>
      </c>
      <c r="D21" s="41">
        <v>0</v>
      </c>
      <c r="E21" s="30">
        <f t="shared" si="2"/>
        <v>0</v>
      </c>
      <c r="F21" s="42">
        <v>0</v>
      </c>
      <c r="G21" s="41">
        <v>0</v>
      </c>
      <c r="H21" s="30">
        <f t="shared" si="3"/>
        <v>0</v>
      </c>
      <c r="I21" s="42">
        <v>0</v>
      </c>
      <c r="J21" s="41">
        <v>0</v>
      </c>
      <c r="K21" s="30">
        <f t="shared" si="4"/>
        <v>0</v>
      </c>
      <c r="L21" s="42">
        <v>0</v>
      </c>
      <c r="M21" s="41">
        <v>0</v>
      </c>
      <c r="N21" s="30">
        <f t="shared" si="5"/>
        <v>0</v>
      </c>
      <c r="O21" s="42">
        <v>0</v>
      </c>
      <c r="P21" s="41">
        <v>0</v>
      </c>
      <c r="Q21" s="30">
        <f t="shared" si="6"/>
        <v>0</v>
      </c>
      <c r="R21" s="42">
        <v>0</v>
      </c>
      <c r="S21" s="41">
        <v>0</v>
      </c>
      <c r="T21" s="30">
        <f t="shared" si="7"/>
        <v>0</v>
      </c>
      <c r="U21" s="42">
        <v>0</v>
      </c>
      <c r="V21" s="41">
        <v>0</v>
      </c>
      <c r="W21" s="30">
        <f t="shared" si="8"/>
        <v>0</v>
      </c>
      <c r="X21" s="42">
        <v>0</v>
      </c>
      <c r="Y21" s="41">
        <v>0</v>
      </c>
      <c r="Z21" s="30">
        <f t="shared" si="9"/>
        <v>0</v>
      </c>
      <c r="AA21" s="42">
        <v>0</v>
      </c>
      <c r="AB21" s="41">
        <v>0</v>
      </c>
      <c r="AC21" s="30">
        <f t="shared" si="10"/>
        <v>0</v>
      </c>
      <c r="AD21" s="42">
        <v>0</v>
      </c>
      <c r="AE21" s="41">
        <v>0</v>
      </c>
      <c r="AF21" s="30">
        <f t="shared" si="11"/>
        <v>0</v>
      </c>
      <c r="AG21" s="42">
        <v>0</v>
      </c>
      <c r="AH21" s="41">
        <v>0</v>
      </c>
      <c r="AI21" s="30">
        <f t="shared" si="12"/>
        <v>0</v>
      </c>
      <c r="AJ21" s="42">
        <v>0</v>
      </c>
      <c r="AK21" s="41">
        <v>0</v>
      </c>
      <c r="AL21" s="30">
        <f t="shared" si="13"/>
        <v>0</v>
      </c>
      <c r="AM21" s="42">
        <v>0</v>
      </c>
      <c r="AN21" s="41">
        <v>0</v>
      </c>
      <c r="AO21" s="30">
        <f t="shared" si="14"/>
        <v>0</v>
      </c>
      <c r="AP21" s="42">
        <v>0</v>
      </c>
      <c r="AQ21" s="41">
        <v>0</v>
      </c>
      <c r="AR21" s="30">
        <f t="shared" si="16"/>
        <v>0</v>
      </c>
      <c r="AS21" s="29">
        <f t="shared" si="17"/>
        <v>0</v>
      </c>
      <c r="AT21" s="28" t="str">
        <f t="shared" si="18"/>
        <v>Tidak Ada</v>
      </c>
    </row>
    <row r="22" spans="1:46" x14ac:dyDescent="0.2">
      <c r="A22" s="14" t="s">
        <v>31</v>
      </c>
      <c r="B22" s="14" t="s">
        <v>65</v>
      </c>
      <c r="C22" s="42">
        <v>0</v>
      </c>
      <c r="D22" s="41">
        <v>0</v>
      </c>
      <c r="E22" s="30">
        <f t="shared" si="2"/>
        <v>0</v>
      </c>
      <c r="F22" s="42">
        <v>0</v>
      </c>
      <c r="G22" s="41">
        <v>0</v>
      </c>
      <c r="H22" s="30">
        <f t="shared" si="3"/>
        <v>0</v>
      </c>
      <c r="I22" s="42">
        <v>0</v>
      </c>
      <c r="J22" s="41">
        <v>0</v>
      </c>
      <c r="K22" s="30">
        <f t="shared" si="4"/>
        <v>0</v>
      </c>
      <c r="L22" s="42">
        <v>0</v>
      </c>
      <c r="M22" s="41">
        <v>0</v>
      </c>
      <c r="N22" s="30">
        <f t="shared" si="5"/>
        <v>0</v>
      </c>
      <c r="O22" s="42">
        <v>0</v>
      </c>
      <c r="P22" s="41">
        <v>0</v>
      </c>
      <c r="Q22" s="30">
        <f t="shared" si="6"/>
        <v>0</v>
      </c>
      <c r="R22" s="42">
        <v>0</v>
      </c>
      <c r="S22" s="41">
        <v>0</v>
      </c>
      <c r="T22" s="30">
        <f t="shared" si="7"/>
        <v>0</v>
      </c>
      <c r="U22" s="42">
        <v>0</v>
      </c>
      <c r="V22" s="41">
        <v>0</v>
      </c>
      <c r="W22" s="30">
        <f t="shared" si="8"/>
        <v>0</v>
      </c>
      <c r="X22" s="42">
        <v>0</v>
      </c>
      <c r="Y22" s="41">
        <v>0</v>
      </c>
      <c r="Z22" s="30">
        <f t="shared" si="9"/>
        <v>0</v>
      </c>
      <c r="AA22" s="42">
        <v>0</v>
      </c>
      <c r="AB22" s="41">
        <v>0</v>
      </c>
      <c r="AC22" s="30">
        <f t="shared" si="10"/>
        <v>0</v>
      </c>
      <c r="AD22" s="42">
        <v>0</v>
      </c>
      <c r="AE22" s="41">
        <v>0</v>
      </c>
      <c r="AF22" s="30">
        <f t="shared" si="11"/>
        <v>0</v>
      </c>
      <c r="AG22" s="42">
        <v>0</v>
      </c>
      <c r="AH22" s="41">
        <v>0</v>
      </c>
      <c r="AI22" s="30">
        <f t="shared" si="12"/>
        <v>0</v>
      </c>
      <c r="AJ22" s="42">
        <v>0</v>
      </c>
      <c r="AK22" s="41">
        <v>0</v>
      </c>
      <c r="AL22" s="30">
        <f t="shared" si="13"/>
        <v>0</v>
      </c>
      <c r="AM22" s="42">
        <v>0</v>
      </c>
      <c r="AN22" s="41">
        <v>0</v>
      </c>
      <c r="AO22" s="30">
        <f t="shared" si="14"/>
        <v>0</v>
      </c>
      <c r="AP22" s="42">
        <v>0</v>
      </c>
      <c r="AQ22" s="41">
        <v>0</v>
      </c>
      <c r="AR22" s="30">
        <f t="shared" si="16"/>
        <v>0</v>
      </c>
      <c r="AS22" s="29">
        <f t="shared" si="17"/>
        <v>0</v>
      </c>
      <c r="AT22" s="28" t="str">
        <f t="shared" si="18"/>
        <v>Tidak Ada</v>
      </c>
    </row>
    <row r="23" spans="1:46" x14ac:dyDescent="0.2">
      <c r="A23" s="14" t="s">
        <v>31</v>
      </c>
      <c r="B23" s="14" t="s">
        <v>66</v>
      </c>
      <c r="C23" s="42">
        <v>0</v>
      </c>
      <c r="D23" s="41">
        <v>0</v>
      </c>
      <c r="E23" s="30">
        <f t="shared" si="2"/>
        <v>0</v>
      </c>
      <c r="F23" s="42">
        <v>0</v>
      </c>
      <c r="G23" s="41">
        <v>0</v>
      </c>
      <c r="H23" s="30">
        <f t="shared" si="3"/>
        <v>0</v>
      </c>
      <c r="I23" s="42">
        <v>0</v>
      </c>
      <c r="J23" s="41">
        <v>0</v>
      </c>
      <c r="K23" s="30">
        <f t="shared" si="4"/>
        <v>0</v>
      </c>
      <c r="L23" s="42">
        <v>0</v>
      </c>
      <c r="M23" s="41">
        <v>0</v>
      </c>
      <c r="N23" s="30">
        <f t="shared" si="5"/>
        <v>0</v>
      </c>
      <c r="O23" s="42">
        <v>0</v>
      </c>
      <c r="P23" s="41">
        <v>0</v>
      </c>
      <c r="Q23" s="30">
        <f t="shared" si="6"/>
        <v>0</v>
      </c>
      <c r="R23" s="42">
        <v>0</v>
      </c>
      <c r="S23" s="41">
        <v>0</v>
      </c>
      <c r="T23" s="30">
        <f t="shared" si="7"/>
        <v>0</v>
      </c>
      <c r="U23" s="42">
        <v>0</v>
      </c>
      <c r="V23" s="41">
        <v>0</v>
      </c>
      <c r="W23" s="30">
        <f t="shared" si="8"/>
        <v>0</v>
      </c>
      <c r="X23" s="42">
        <v>0</v>
      </c>
      <c r="Y23" s="41">
        <v>0</v>
      </c>
      <c r="Z23" s="30">
        <f t="shared" si="9"/>
        <v>0</v>
      </c>
      <c r="AA23" s="42">
        <v>0</v>
      </c>
      <c r="AB23" s="41">
        <v>0</v>
      </c>
      <c r="AC23" s="30">
        <f t="shared" si="10"/>
        <v>0</v>
      </c>
      <c r="AD23" s="42">
        <v>0</v>
      </c>
      <c r="AE23" s="41">
        <v>0</v>
      </c>
      <c r="AF23" s="30">
        <f t="shared" si="11"/>
        <v>0</v>
      </c>
      <c r="AG23" s="42">
        <v>0</v>
      </c>
      <c r="AH23" s="41">
        <v>0</v>
      </c>
      <c r="AI23" s="30">
        <f t="shared" si="12"/>
        <v>0</v>
      </c>
      <c r="AJ23" s="42">
        <v>0</v>
      </c>
      <c r="AK23" s="41">
        <v>0</v>
      </c>
      <c r="AL23" s="30">
        <f t="shared" si="13"/>
        <v>0</v>
      </c>
      <c r="AM23" s="42">
        <v>0</v>
      </c>
      <c r="AN23" s="41">
        <v>0</v>
      </c>
      <c r="AO23" s="30">
        <f t="shared" si="14"/>
        <v>0</v>
      </c>
      <c r="AP23" s="42">
        <v>0</v>
      </c>
      <c r="AQ23" s="41">
        <v>0</v>
      </c>
      <c r="AR23" s="30">
        <f t="shared" si="16"/>
        <v>0</v>
      </c>
      <c r="AS23" s="29">
        <f t="shared" si="17"/>
        <v>0</v>
      </c>
      <c r="AT23" s="28" t="str">
        <f t="shared" si="18"/>
        <v>Tidak Ada</v>
      </c>
    </row>
    <row r="24" spans="1:46" x14ac:dyDescent="0.2">
      <c r="A24" s="14" t="s">
        <v>31</v>
      </c>
      <c r="B24" s="14" t="s">
        <v>67</v>
      </c>
      <c r="C24" s="42">
        <v>0</v>
      </c>
      <c r="D24" s="41">
        <v>0</v>
      </c>
      <c r="E24" s="30">
        <f t="shared" si="2"/>
        <v>0</v>
      </c>
      <c r="F24" s="42">
        <v>0</v>
      </c>
      <c r="G24" s="41">
        <v>0</v>
      </c>
      <c r="H24" s="30">
        <f t="shared" si="3"/>
        <v>0</v>
      </c>
      <c r="I24" s="42">
        <v>0</v>
      </c>
      <c r="J24" s="41">
        <v>0</v>
      </c>
      <c r="K24" s="30">
        <f t="shared" si="4"/>
        <v>0</v>
      </c>
      <c r="L24" s="42">
        <v>0</v>
      </c>
      <c r="M24" s="41">
        <v>0</v>
      </c>
      <c r="N24" s="30">
        <f t="shared" si="5"/>
        <v>0</v>
      </c>
      <c r="O24" s="42">
        <v>0</v>
      </c>
      <c r="P24" s="41">
        <v>0</v>
      </c>
      <c r="Q24" s="30">
        <f t="shared" si="6"/>
        <v>0</v>
      </c>
      <c r="R24" s="42">
        <v>0</v>
      </c>
      <c r="S24" s="41">
        <v>0</v>
      </c>
      <c r="T24" s="30">
        <f t="shared" si="7"/>
        <v>0</v>
      </c>
      <c r="U24" s="42">
        <v>0</v>
      </c>
      <c r="V24" s="41">
        <v>0</v>
      </c>
      <c r="W24" s="30">
        <f t="shared" si="8"/>
        <v>0</v>
      </c>
      <c r="X24" s="42">
        <v>0</v>
      </c>
      <c r="Y24" s="41">
        <v>0</v>
      </c>
      <c r="Z24" s="30">
        <f t="shared" si="9"/>
        <v>0</v>
      </c>
      <c r="AA24" s="42">
        <v>0</v>
      </c>
      <c r="AB24" s="41">
        <v>0</v>
      </c>
      <c r="AC24" s="30">
        <f t="shared" si="10"/>
        <v>0</v>
      </c>
      <c r="AD24" s="42">
        <v>0</v>
      </c>
      <c r="AE24" s="41">
        <v>0</v>
      </c>
      <c r="AF24" s="30">
        <f t="shared" si="11"/>
        <v>0</v>
      </c>
      <c r="AG24" s="42">
        <v>0</v>
      </c>
      <c r="AH24" s="41">
        <v>0</v>
      </c>
      <c r="AI24" s="30">
        <f t="shared" si="12"/>
        <v>0</v>
      </c>
      <c r="AJ24" s="42">
        <v>0</v>
      </c>
      <c r="AK24" s="41">
        <v>0</v>
      </c>
      <c r="AL24" s="30">
        <f t="shared" si="13"/>
        <v>0</v>
      </c>
      <c r="AM24" s="42">
        <v>0</v>
      </c>
      <c r="AN24" s="41">
        <v>0</v>
      </c>
      <c r="AO24" s="30">
        <f t="shared" si="14"/>
        <v>0</v>
      </c>
      <c r="AP24" s="42">
        <v>0</v>
      </c>
      <c r="AQ24" s="41">
        <v>0</v>
      </c>
      <c r="AR24" s="30">
        <f t="shared" si="16"/>
        <v>0</v>
      </c>
      <c r="AS24" s="29">
        <f t="shared" si="17"/>
        <v>0</v>
      </c>
      <c r="AT24" s="28" t="str">
        <f t="shared" si="18"/>
        <v>Tidak Ada</v>
      </c>
    </row>
    <row r="25" spans="1:46" x14ac:dyDescent="0.2">
      <c r="A25" s="14" t="s">
        <v>31</v>
      </c>
      <c r="B25" s="14" t="s">
        <v>68</v>
      </c>
      <c r="C25" s="42">
        <v>0</v>
      </c>
      <c r="D25" s="41">
        <v>0</v>
      </c>
      <c r="E25" s="30">
        <f t="shared" si="2"/>
        <v>0</v>
      </c>
      <c r="F25" s="42">
        <v>0</v>
      </c>
      <c r="G25" s="41">
        <v>0</v>
      </c>
      <c r="H25" s="30">
        <f t="shared" si="3"/>
        <v>0</v>
      </c>
      <c r="I25" s="42">
        <v>0</v>
      </c>
      <c r="J25" s="41">
        <v>0</v>
      </c>
      <c r="K25" s="30">
        <f t="shared" si="4"/>
        <v>0</v>
      </c>
      <c r="L25" s="42">
        <v>0</v>
      </c>
      <c r="M25" s="41">
        <v>0</v>
      </c>
      <c r="N25" s="30">
        <f t="shared" si="5"/>
        <v>0</v>
      </c>
      <c r="O25" s="42">
        <v>0</v>
      </c>
      <c r="P25" s="41">
        <v>0</v>
      </c>
      <c r="Q25" s="30">
        <f t="shared" si="6"/>
        <v>0</v>
      </c>
      <c r="R25" s="42">
        <v>0</v>
      </c>
      <c r="S25" s="41">
        <v>0</v>
      </c>
      <c r="T25" s="30">
        <f t="shared" si="7"/>
        <v>0</v>
      </c>
      <c r="U25" s="42">
        <v>0</v>
      </c>
      <c r="V25" s="41">
        <v>0</v>
      </c>
      <c r="W25" s="30">
        <f t="shared" si="8"/>
        <v>0</v>
      </c>
      <c r="X25" s="42">
        <v>0</v>
      </c>
      <c r="Y25" s="41">
        <v>0</v>
      </c>
      <c r="Z25" s="30">
        <f t="shared" si="9"/>
        <v>0</v>
      </c>
      <c r="AA25" s="42">
        <v>0</v>
      </c>
      <c r="AB25" s="41">
        <v>0</v>
      </c>
      <c r="AC25" s="30">
        <f t="shared" si="10"/>
        <v>0</v>
      </c>
      <c r="AD25" s="42">
        <v>0</v>
      </c>
      <c r="AE25" s="41">
        <v>0</v>
      </c>
      <c r="AF25" s="30">
        <f t="shared" si="11"/>
        <v>0</v>
      </c>
      <c r="AG25" s="42">
        <v>0</v>
      </c>
      <c r="AH25" s="41">
        <v>0</v>
      </c>
      <c r="AI25" s="30">
        <f t="shared" si="12"/>
        <v>0</v>
      </c>
      <c r="AJ25" s="42">
        <v>0</v>
      </c>
      <c r="AK25" s="41">
        <v>0</v>
      </c>
      <c r="AL25" s="30">
        <f t="shared" si="13"/>
        <v>0</v>
      </c>
      <c r="AM25" s="42">
        <v>0</v>
      </c>
      <c r="AN25" s="41">
        <v>0</v>
      </c>
      <c r="AO25" s="30">
        <f t="shared" si="14"/>
        <v>0</v>
      </c>
      <c r="AP25" s="42">
        <v>0</v>
      </c>
      <c r="AQ25" s="41">
        <v>0</v>
      </c>
      <c r="AR25" s="30">
        <f t="shared" si="16"/>
        <v>0</v>
      </c>
      <c r="AS25" s="29">
        <f t="shared" si="17"/>
        <v>0</v>
      </c>
      <c r="AT25" s="28" t="str">
        <f t="shared" si="18"/>
        <v>Tidak Ada</v>
      </c>
    </row>
    <row r="26" spans="1:46" x14ac:dyDescent="0.2">
      <c r="A26" s="14" t="s">
        <v>31</v>
      </c>
      <c r="B26" s="14" t="s">
        <v>69</v>
      </c>
      <c r="C26" s="42">
        <v>0</v>
      </c>
      <c r="D26" s="41">
        <v>0</v>
      </c>
      <c r="E26" s="30">
        <f t="shared" si="2"/>
        <v>0</v>
      </c>
      <c r="F26" s="42">
        <v>0</v>
      </c>
      <c r="G26" s="41">
        <v>0</v>
      </c>
      <c r="H26" s="30">
        <f t="shared" si="3"/>
        <v>0</v>
      </c>
      <c r="I26" s="42">
        <v>0</v>
      </c>
      <c r="J26" s="41">
        <v>0</v>
      </c>
      <c r="K26" s="30">
        <f t="shared" si="4"/>
        <v>0</v>
      </c>
      <c r="L26" s="42">
        <v>0</v>
      </c>
      <c r="M26" s="41">
        <v>0</v>
      </c>
      <c r="N26" s="30">
        <f t="shared" si="5"/>
        <v>0</v>
      </c>
      <c r="O26" s="42">
        <v>0</v>
      </c>
      <c r="P26" s="41">
        <v>0</v>
      </c>
      <c r="Q26" s="30">
        <f t="shared" si="6"/>
        <v>0</v>
      </c>
      <c r="R26" s="42">
        <v>0</v>
      </c>
      <c r="S26" s="41">
        <v>0</v>
      </c>
      <c r="T26" s="30">
        <f t="shared" si="7"/>
        <v>0</v>
      </c>
      <c r="U26" s="42">
        <v>0</v>
      </c>
      <c r="V26" s="41">
        <v>0</v>
      </c>
      <c r="W26" s="30">
        <f t="shared" si="8"/>
        <v>0</v>
      </c>
      <c r="X26" s="42">
        <v>0</v>
      </c>
      <c r="Y26" s="41">
        <v>0</v>
      </c>
      <c r="Z26" s="30">
        <f t="shared" si="9"/>
        <v>0</v>
      </c>
      <c r="AA26" s="42">
        <v>0</v>
      </c>
      <c r="AB26" s="41">
        <v>0</v>
      </c>
      <c r="AC26" s="30">
        <f t="shared" si="10"/>
        <v>0</v>
      </c>
      <c r="AD26" s="42">
        <v>0</v>
      </c>
      <c r="AE26" s="41">
        <v>0</v>
      </c>
      <c r="AF26" s="30">
        <f t="shared" si="11"/>
        <v>0</v>
      </c>
      <c r="AG26" s="42">
        <v>0</v>
      </c>
      <c r="AH26" s="41">
        <v>0</v>
      </c>
      <c r="AI26" s="30">
        <f t="shared" si="12"/>
        <v>0</v>
      </c>
      <c r="AJ26" s="42">
        <v>0</v>
      </c>
      <c r="AK26" s="41">
        <v>0</v>
      </c>
      <c r="AL26" s="30">
        <f t="shared" si="13"/>
        <v>0</v>
      </c>
      <c r="AM26" s="42">
        <v>0</v>
      </c>
      <c r="AN26" s="41">
        <v>0</v>
      </c>
      <c r="AO26" s="30">
        <f t="shared" si="14"/>
        <v>0</v>
      </c>
      <c r="AP26" s="42">
        <v>0</v>
      </c>
      <c r="AQ26" s="41">
        <v>0</v>
      </c>
      <c r="AR26" s="30">
        <f t="shared" si="16"/>
        <v>0</v>
      </c>
      <c r="AS26" s="29">
        <f t="shared" si="17"/>
        <v>0</v>
      </c>
      <c r="AT26" s="28" t="str">
        <f t="shared" si="18"/>
        <v>Tidak Ada</v>
      </c>
    </row>
    <row r="27" spans="1:46" x14ac:dyDescent="0.2">
      <c r="A27" s="14" t="s">
        <v>31</v>
      </c>
      <c r="B27" s="14" t="s">
        <v>70</v>
      </c>
      <c r="C27" s="42">
        <v>0</v>
      </c>
      <c r="D27" s="41">
        <v>0</v>
      </c>
      <c r="E27" s="30">
        <f t="shared" si="2"/>
        <v>0</v>
      </c>
      <c r="F27" s="42">
        <v>0</v>
      </c>
      <c r="G27" s="41">
        <v>0</v>
      </c>
      <c r="H27" s="30">
        <f t="shared" si="3"/>
        <v>0</v>
      </c>
      <c r="I27" s="42">
        <v>0</v>
      </c>
      <c r="J27" s="41">
        <v>0</v>
      </c>
      <c r="K27" s="30">
        <f t="shared" si="4"/>
        <v>0</v>
      </c>
      <c r="L27" s="42">
        <v>0</v>
      </c>
      <c r="M27" s="41">
        <v>0</v>
      </c>
      <c r="N27" s="30">
        <f t="shared" si="5"/>
        <v>0</v>
      </c>
      <c r="O27" s="42">
        <v>0</v>
      </c>
      <c r="P27" s="41">
        <v>0</v>
      </c>
      <c r="Q27" s="30">
        <f t="shared" si="6"/>
        <v>0</v>
      </c>
      <c r="R27" s="42">
        <v>0</v>
      </c>
      <c r="S27" s="41">
        <v>0</v>
      </c>
      <c r="T27" s="30">
        <f t="shared" si="7"/>
        <v>0</v>
      </c>
      <c r="U27" s="42">
        <v>0</v>
      </c>
      <c r="V27" s="41">
        <v>0</v>
      </c>
      <c r="W27" s="30">
        <f t="shared" si="8"/>
        <v>0</v>
      </c>
      <c r="X27" s="42">
        <v>0</v>
      </c>
      <c r="Y27" s="41">
        <v>0</v>
      </c>
      <c r="Z27" s="30">
        <f t="shared" si="9"/>
        <v>0</v>
      </c>
      <c r="AA27" s="42">
        <v>0</v>
      </c>
      <c r="AB27" s="41">
        <v>0</v>
      </c>
      <c r="AC27" s="30">
        <f t="shared" si="10"/>
        <v>0</v>
      </c>
      <c r="AD27" s="42">
        <v>0</v>
      </c>
      <c r="AE27" s="41">
        <v>0</v>
      </c>
      <c r="AF27" s="30">
        <f t="shared" si="11"/>
        <v>0</v>
      </c>
      <c r="AG27" s="42">
        <v>0</v>
      </c>
      <c r="AH27" s="41">
        <v>0</v>
      </c>
      <c r="AI27" s="30">
        <f t="shared" si="12"/>
        <v>0</v>
      </c>
      <c r="AJ27" s="42">
        <v>0</v>
      </c>
      <c r="AK27" s="41">
        <v>0</v>
      </c>
      <c r="AL27" s="30">
        <f t="shared" si="13"/>
        <v>0</v>
      </c>
      <c r="AM27" s="42">
        <v>0</v>
      </c>
      <c r="AN27" s="41">
        <v>0</v>
      </c>
      <c r="AO27" s="30">
        <f t="shared" si="14"/>
        <v>0</v>
      </c>
      <c r="AP27" s="42">
        <v>0</v>
      </c>
      <c r="AQ27" s="41">
        <v>0</v>
      </c>
      <c r="AR27" s="30">
        <f t="shared" si="16"/>
        <v>0</v>
      </c>
      <c r="AS27" s="29">
        <f t="shared" si="17"/>
        <v>0</v>
      </c>
      <c r="AT27" s="28" t="str">
        <f t="shared" si="18"/>
        <v>Tidak Ada</v>
      </c>
    </row>
    <row r="28" spans="1:46" x14ac:dyDescent="0.2">
      <c r="A28" s="14" t="s">
        <v>31</v>
      </c>
      <c r="B28" s="14" t="s">
        <v>71</v>
      </c>
      <c r="C28" s="42">
        <v>0</v>
      </c>
      <c r="D28" s="41">
        <v>0</v>
      </c>
      <c r="E28" s="30">
        <f t="shared" si="2"/>
        <v>0</v>
      </c>
      <c r="F28" s="42">
        <v>0</v>
      </c>
      <c r="G28" s="41">
        <v>0</v>
      </c>
      <c r="H28" s="30">
        <f t="shared" si="3"/>
        <v>0</v>
      </c>
      <c r="I28" s="42">
        <v>0</v>
      </c>
      <c r="J28" s="41">
        <v>0</v>
      </c>
      <c r="K28" s="30">
        <f t="shared" si="4"/>
        <v>0</v>
      </c>
      <c r="L28" s="42">
        <v>0</v>
      </c>
      <c r="M28" s="41">
        <v>0</v>
      </c>
      <c r="N28" s="30">
        <f t="shared" si="5"/>
        <v>0</v>
      </c>
      <c r="O28" s="42">
        <v>0</v>
      </c>
      <c r="P28" s="41">
        <v>0</v>
      </c>
      <c r="Q28" s="30">
        <f t="shared" si="6"/>
        <v>0</v>
      </c>
      <c r="R28" s="42">
        <v>0</v>
      </c>
      <c r="S28" s="41">
        <v>0</v>
      </c>
      <c r="T28" s="30">
        <f t="shared" si="7"/>
        <v>0</v>
      </c>
      <c r="U28" s="42">
        <v>0</v>
      </c>
      <c r="V28" s="41">
        <v>0</v>
      </c>
      <c r="W28" s="30">
        <f t="shared" si="8"/>
        <v>0</v>
      </c>
      <c r="X28" s="42">
        <v>0</v>
      </c>
      <c r="Y28" s="41">
        <v>0</v>
      </c>
      <c r="Z28" s="30">
        <f t="shared" si="9"/>
        <v>0</v>
      </c>
      <c r="AA28" s="42">
        <v>0</v>
      </c>
      <c r="AB28" s="41">
        <v>0</v>
      </c>
      <c r="AC28" s="30">
        <f t="shared" si="10"/>
        <v>0</v>
      </c>
      <c r="AD28" s="42">
        <v>0</v>
      </c>
      <c r="AE28" s="41">
        <v>0</v>
      </c>
      <c r="AF28" s="30">
        <f t="shared" si="11"/>
        <v>0</v>
      </c>
      <c r="AG28" s="42">
        <v>0</v>
      </c>
      <c r="AH28" s="41">
        <v>0</v>
      </c>
      <c r="AI28" s="30">
        <f t="shared" si="12"/>
        <v>0</v>
      </c>
      <c r="AJ28" s="42">
        <v>0</v>
      </c>
      <c r="AK28" s="41">
        <v>0</v>
      </c>
      <c r="AL28" s="30">
        <f t="shared" si="13"/>
        <v>0</v>
      </c>
      <c r="AM28" s="42">
        <v>0</v>
      </c>
      <c r="AN28" s="41">
        <v>0</v>
      </c>
      <c r="AO28" s="30">
        <f t="shared" si="14"/>
        <v>0</v>
      </c>
      <c r="AP28" s="42">
        <v>0</v>
      </c>
      <c r="AQ28" s="41">
        <v>0</v>
      </c>
      <c r="AR28" s="30">
        <f t="shared" si="16"/>
        <v>0</v>
      </c>
      <c r="AS28" s="29">
        <f t="shared" si="17"/>
        <v>0</v>
      </c>
      <c r="AT28" s="28" t="str">
        <f t="shared" si="18"/>
        <v>Tidak Ada</v>
      </c>
    </row>
    <row r="29" spans="1:46" x14ac:dyDescent="0.2">
      <c r="A29" s="14" t="s">
        <v>31</v>
      </c>
      <c r="B29" s="14" t="s">
        <v>72</v>
      </c>
      <c r="C29" s="42">
        <v>0</v>
      </c>
      <c r="D29" s="41">
        <v>0</v>
      </c>
      <c r="E29" s="30">
        <f t="shared" si="2"/>
        <v>0</v>
      </c>
      <c r="F29" s="42">
        <v>0</v>
      </c>
      <c r="G29" s="41">
        <v>0</v>
      </c>
      <c r="H29" s="30">
        <f t="shared" si="3"/>
        <v>0</v>
      </c>
      <c r="I29" s="42">
        <v>0</v>
      </c>
      <c r="J29" s="41">
        <v>0</v>
      </c>
      <c r="K29" s="30">
        <f t="shared" si="4"/>
        <v>0</v>
      </c>
      <c r="L29" s="42">
        <v>0</v>
      </c>
      <c r="M29" s="41">
        <v>0</v>
      </c>
      <c r="N29" s="30">
        <f t="shared" si="5"/>
        <v>0</v>
      </c>
      <c r="O29" s="42">
        <v>0</v>
      </c>
      <c r="P29" s="41">
        <v>0</v>
      </c>
      <c r="Q29" s="30">
        <f t="shared" si="6"/>
        <v>0</v>
      </c>
      <c r="R29" s="42">
        <v>0</v>
      </c>
      <c r="S29" s="41">
        <v>0</v>
      </c>
      <c r="T29" s="30">
        <f t="shared" si="7"/>
        <v>0</v>
      </c>
      <c r="U29" s="42">
        <v>0</v>
      </c>
      <c r="V29" s="41">
        <v>0</v>
      </c>
      <c r="W29" s="30">
        <f t="shared" si="8"/>
        <v>0</v>
      </c>
      <c r="X29" s="42">
        <v>0</v>
      </c>
      <c r="Y29" s="41">
        <v>0</v>
      </c>
      <c r="Z29" s="30">
        <f t="shared" si="9"/>
        <v>0</v>
      </c>
      <c r="AA29" s="42">
        <v>0</v>
      </c>
      <c r="AB29" s="41">
        <v>0</v>
      </c>
      <c r="AC29" s="30">
        <f t="shared" si="10"/>
        <v>0</v>
      </c>
      <c r="AD29" s="42">
        <v>0</v>
      </c>
      <c r="AE29" s="41">
        <v>0</v>
      </c>
      <c r="AF29" s="30">
        <f t="shared" si="11"/>
        <v>0</v>
      </c>
      <c r="AG29" s="42">
        <v>0</v>
      </c>
      <c r="AH29" s="41">
        <v>0</v>
      </c>
      <c r="AI29" s="30">
        <f t="shared" si="12"/>
        <v>0</v>
      </c>
      <c r="AJ29" s="42">
        <v>0</v>
      </c>
      <c r="AK29" s="41">
        <v>0</v>
      </c>
      <c r="AL29" s="30">
        <f t="shared" si="13"/>
        <v>0</v>
      </c>
      <c r="AM29" s="42">
        <v>0</v>
      </c>
      <c r="AN29" s="41">
        <v>0</v>
      </c>
      <c r="AO29" s="30">
        <f t="shared" si="14"/>
        <v>0</v>
      </c>
      <c r="AP29" s="42">
        <v>0</v>
      </c>
      <c r="AQ29" s="41">
        <v>0</v>
      </c>
      <c r="AR29" s="30">
        <f t="shared" si="16"/>
        <v>0</v>
      </c>
      <c r="AS29" s="29">
        <f t="shared" si="17"/>
        <v>0</v>
      </c>
      <c r="AT29" s="28" t="str">
        <f t="shared" si="18"/>
        <v>Tidak Ada</v>
      </c>
    </row>
    <row r="30" spans="1:46" x14ac:dyDescent="0.2">
      <c r="A30" s="14" t="s">
        <v>31</v>
      </c>
      <c r="B30" s="14" t="s">
        <v>73</v>
      </c>
      <c r="C30" s="42">
        <v>0</v>
      </c>
      <c r="D30" s="41">
        <v>0</v>
      </c>
      <c r="E30" s="30">
        <f t="shared" si="2"/>
        <v>0</v>
      </c>
      <c r="F30" s="42">
        <v>0</v>
      </c>
      <c r="G30" s="41">
        <v>0</v>
      </c>
      <c r="H30" s="30">
        <f t="shared" si="3"/>
        <v>0</v>
      </c>
      <c r="I30" s="42">
        <v>0</v>
      </c>
      <c r="J30" s="41">
        <v>0</v>
      </c>
      <c r="K30" s="30">
        <f t="shared" si="4"/>
        <v>0</v>
      </c>
      <c r="L30" s="42">
        <v>0</v>
      </c>
      <c r="M30" s="41">
        <v>0</v>
      </c>
      <c r="N30" s="30">
        <f t="shared" si="5"/>
        <v>0</v>
      </c>
      <c r="O30" s="42">
        <v>0</v>
      </c>
      <c r="P30" s="41">
        <v>0</v>
      </c>
      <c r="Q30" s="30">
        <f t="shared" si="6"/>
        <v>0</v>
      </c>
      <c r="R30" s="42">
        <v>0</v>
      </c>
      <c r="S30" s="41">
        <v>0</v>
      </c>
      <c r="T30" s="30">
        <f t="shared" si="7"/>
        <v>0</v>
      </c>
      <c r="U30" s="42">
        <v>0</v>
      </c>
      <c r="V30" s="41">
        <v>0</v>
      </c>
      <c r="W30" s="30">
        <f t="shared" si="8"/>
        <v>0</v>
      </c>
      <c r="X30" s="42">
        <v>0</v>
      </c>
      <c r="Y30" s="41">
        <v>0</v>
      </c>
      <c r="Z30" s="30">
        <f t="shared" si="9"/>
        <v>0</v>
      </c>
      <c r="AA30" s="42">
        <v>0</v>
      </c>
      <c r="AB30" s="41">
        <v>0</v>
      </c>
      <c r="AC30" s="30">
        <f t="shared" si="10"/>
        <v>0</v>
      </c>
      <c r="AD30" s="42">
        <v>0</v>
      </c>
      <c r="AE30" s="41">
        <v>0</v>
      </c>
      <c r="AF30" s="30">
        <f t="shared" si="11"/>
        <v>0</v>
      </c>
      <c r="AG30" s="42">
        <v>0</v>
      </c>
      <c r="AH30" s="41">
        <v>0</v>
      </c>
      <c r="AI30" s="30">
        <f t="shared" si="12"/>
        <v>0</v>
      </c>
      <c r="AJ30" s="42">
        <v>0</v>
      </c>
      <c r="AK30" s="41">
        <v>0</v>
      </c>
      <c r="AL30" s="30">
        <f t="shared" si="13"/>
        <v>0</v>
      </c>
      <c r="AM30" s="42">
        <v>0</v>
      </c>
      <c r="AN30" s="41">
        <v>0</v>
      </c>
      <c r="AO30" s="30">
        <f t="shared" si="14"/>
        <v>0</v>
      </c>
      <c r="AP30" s="42">
        <v>0</v>
      </c>
      <c r="AQ30" s="41">
        <v>0</v>
      </c>
      <c r="AR30" s="30">
        <f t="shared" si="16"/>
        <v>0</v>
      </c>
      <c r="AS30" s="29">
        <f t="shared" si="17"/>
        <v>0</v>
      </c>
      <c r="AT30" s="28" t="str">
        <f t="shared" si="18"/>
        <v>Tidak Ada</v>
      </c>
    </row>
    <row r="31" spans="1:46" x14ac:dyDescent="0.2">
      <c r="A31" s="14" t="s">
        <v>31</v>
      </c>
      <c r="B31" s="14" t="s">
        <v>74</v>
      </c>
      <c r="C31" s="42">
        <v>0</v>
      </c>
      <c r="D31" s="41">
        <v>0</v>
      </c>
      <c r="E31" s="30">
        <f t="shared" si="2"/>
        <v>0</v>
      </c>
      <c r="F31" s="42">
        <v>0</v>
      </c>
      <c r="G31" s="41">
        <v>0</v>
      </c>
      <c r="H31" s="30">
        <f t="shared" si="3"/>
        <v>0</v>
      </c>
      <c r="I31" s="42">
        <v>0</v>
      </c>
      <c r="J31" s="41">
        <v>0</v>
      </c>
      <c r="K31" s="30">
        <f t="shared" si="4"/>
        <v>0</v>
      </c>
      <c r="L31" s="42">
        <v>0</v>
      </c>
      <c r="M31" s="41">
        <v>0</v>
      </c>
      <c r="N31" s="30">
        <f t="shared" si="5"/>
        <v>0</v>
      </c>
      <c r="O31" s="42">
        <v>0</v>
      </c>
      <c r="P31" s="41">
        <v>0</v>
      </c>
      <c r="Q31" s="30">
        <f t="shared" si="6"/>
        <v>0</v>
      </c>
      <c r="R31" s="42">
        <v>0</v>
      </c>
      <c r="S31" s="41">
        <v>0</v>
      </c>
      <c r="T31" s="30">
        <f t="shared" si="7"/>
        <v>0</v>
      </c>
      <c r="U31" s="42">
        <v>0</v>
      </c>
      <c r="V31" s="41">
        <v>0</v>
      </c>
      <c r="W31" s="30">
        <f t="shared" si="8"/>
        <v>0</v>
      </c>
      <c r="X31" s="42">
        <v>0</v>
      </c>
      <c r="Y31" s="41">
        <v>0</v>
      </c>
      <c r="Z31" s="30">
        <f t="shared" si="9"/>
        <v>0</v>
      </c>
      <c r="AA31" s="42">
        <v>0</v>
      </c>
      <c r="AB31" s="41">
        <v>0</v>
      </c>
      <c r="AC31" s="30">
        <f t="shared" si="10"/>
        <v>0</v>
      </c>
      <c r="AD31" s="42">
        <v>0</v>
      </c>
      <c r="AE31" s="41">
        <v>0</v>
      </c>
      <c r="AF31" s="30">
        <f t="shared" si="11"/>
        <v>0</v>
      </c>
      <c r="AG31" s="42">
        <v>0</v>
      </c>
      <c r="AH31" s="41">
        <v>0</v>
      </c>
      <c r="AI31" s="30">
        <f t="shared" si="12"/>
        <v>0</v>
      </c>
      <c r="AJ31" s="42">
        <v>0</v>
      </c>
      <c r="AK31" s="41">
        <v>0</v>
      </c>
      <c r="AL31" s="30">
        <f t="shared" si="13"/>
        <v>0</v>
      </c>
      <c r="AM31" s="42">
        <v>0</v>
      </c>
      <c r="AN31" s="41">
        <v>0</v>
      </c>
      <c r="AO31" s="30">
        <f t="shared" si="14"/>
        <v>0</v>
      </c>
      <c r="AP31" s="42">
        <v>0</v>
      </c>
      <c r="AQ31" s="41">
        <v>0</v>
      </c>
      <c r="AR31" s="30">
        <f t="shared" si="16"/>
        <v>0</v>
      </c>
      <c r="AS31" s="29">
        <f t="shared" si="17"/>
        <v>0</v>
      </c>
      <c r="AT31" s="28" t="str">
        <f t="shared" si="18"/>
        <v>Tidak Ada</v>
      </c>
    </row>
    <row r="32" spans="1:46" x14ac:dyDescent="0.2">
      <c r="A32" s="14" t="s">
        <v>31</v>
      </c>
      <c r="B32" s="14" t="s">
        <v>75</v>
      </c>
      <c r="C32" s="42">
        <v>0</v>
      </c>
      <c r="D32" s="41">
        <v>0</v>
      </c>
      <c r="E32" s="30">
        <f t="shared" si="2"/>
        <v>0</v>
      </c>
      <c r="F32" s="42">
        <v>0</v>
      </c>
      <c r="G32" s="41">
        <v>0</v>
      </c>
      <c r="H32" s="30">
        <f t="shared" si="3"/>
        <v>0</v>
      </c>
      <c r="I32" s="42">
        <v>0</v>
      </c>
      <c r="J32" s="41">
        <v>0</v>
      </c>
      <c r="K32" s="30">
        <f t="shared" si="4"/>
        <v>0</v>
      </c>
      <c r="L32" s="42">
        <v>0</v>
      </c>
      <c r="M32" s="41">
        <v>0</v>
      </c>
      <c r="N32" s="30">
        <f t="shared" si="5"/>
        <v>0</v>
      </c>
      <c r="O32" s="42">
        <v>0</v>
      </c>
      <c r="P32" s="41">
        <v>0</v>
      </c>
      <c r="Q32" s="30">
        <f t="shared" si="6"/>
        <v>0</v>
      </c>
      <c r="R32" s="42">
        <v>0</v>
      </c>
      <c r="S32" s="41">
        <v>0</v>
      </c>
      <c r="T32" s="30">
        <f t="shared" si="7"/>
        <v>0</v>
      </c>
      <c r="U32" s="42">
        <v>0</v>
      </c>
      <c r="V32" s="41">
        <v>0</v>
      </c>
      <c r="W32" s="30">
        <f t="shared" si="8"/>
        <v>0</v>
      </c>
      <c r="X32" s="42">
        <v>0</v>
      </c>
      <c r="Y32" s="41">
        <v>0</v>
      </c>
      <c r="Z32" s="30">
        <f t="shared" si="9"/>
        <v>0</v>
      </c>
      <c r="AA32" s="42">
        <v>0</v>
      </c>
      <c r="AB32" s="41">
        <v>0</v>
      </c>
      <c r="AC32" s="30">
        <f t="shared" si="10"/>
        <v>0</v>
      </c>
      <c r="AD32" s="42">
        <v>0</v>
      </c>
      <c r="AE32" s="41">
        <v>0</v>
      </c>
      <c r="AF32" s="30">
        <f t="shared" si="11"/>
        <v>0</v>
      </c>
      <c r="AG32" s="42">
        <v>0</v>
      </c>
      <c r="AH32" s="41">
        <v>0</v>
      </c>
      <c r="AI32" s="30">
        <f t="shared" si="12"/>
        <v>0</v>
      </c>
      <c r="AJ32" s="42">
        <v>0</v>
      </c>
      <c r="AK32" s="41">
        <v>0</v>
      </c>
      <c r="AL32" s="30">
        <f t="shared" si="13"/>
        <v>0</v>
      </c>
      <c r="AM32" s="42">
        <v>0</v>
      </c>
      <c r="AN32" s="41">
        <v>0</v>
      </c>
      <c r="AO32" s="30">
        <f t="shared" si="14"/>
        <v>0</v>
      </c>
      <c r="AP32" s="42">
        <v>0</v>
      </c>
      <c r="AQ32" s="41">
        <v>0</v>
      </c>
      <c r="AR32" s="30">
        <f t="shared" si="16"/>
        <v>0</v>
      </c>
      <c r="AS32" s="29">
        <f t="shared" si="17"/>
        <v>0</v>
      </c>
      <c r="AT32" s="28" t="str">
        <f t="shared" si="18"/>
        <v>Tidak Ada</v>
      </c>
    </row>
    <row r="33" spans="1:46" x14ac:dyDescent="0.2">
      <c r="A33" s="14" t="s">
        <v>31</v>
      </c>
      <c r="B33" s="14" t="s">
        <v>76</v>
      </c>
      <c r="C33" s="42">
        <v>0</v>
      </c>
      <c r="D33" s="41">
        <v>0</v>
      </c>
      <c r="E33" s="30">
        <f t="shared" si="2"/>
        <v>0</v>
      </c>
      <c r="F33" s="42">
        <v>0</v>
      </c>
      <c r="G33" s="41">
        <v>0</v>
      </c>
      <c r="H33" s="30">
        <f t="shared" si="3"/>
        <v>0</v>
      </c>
      <c r="I33" s="42">
        <v>0</v>
      </c>
      <c r="J33" s="41">
        <v>0</v>
      </c>
      <c r="K33" s="30">
        <f t="shared" si="4"/>
        <v>0</v>
      </c>
      <c r="L33" s="42">
        <v>0</v>
      </c>
      <c r="M33" s="41">
        <v>0</v>
      </c>
      <c r="N33" s="30">
        <f t="shared" si="5"/>
        <v>0</v>
      </c>
      <c r="O33" s="42">
        <v>0</v>
      </c>
      <c r="P33" s="41">
        <v>0</v>
      </c>
      <c r="Q33" s="30">
        <f t="shared" si="6"/>
        <v>0</v>
      </c>
      <c r="R33" s="42">
        <v>0</v>
      </c>
      <c r="S33" s="41">
        <v>0</v>
      </c>
      <c r="T33" s="30">
        <f t="shared" si="7"/>
        <v>0</v>
      </c>
      <c r="U33" s="42">
        <v>0</v>
      </c>
      <c r="V33" s="41">
        <v>0</v>
      </c>
      <c r="W33" s="30">
        <f t="shared" si="8"/>
        <v>0</v>
      </c>
      <c r="X33" s="42">
        <v>0</v>
      </c>
      <c r="Y33" s="41">
        <v>0</v>
      </c>
      <c r="Z33" s="30">
        <f t="shared" si="9"/>
        <v>0</v>
      </c>
      <c r="AA33" s="42">
        <v>0</v>
      </c>
      <c r="AB33" s="41">
        <v>0</v>
      </c>
      <c r="AC33" s="30">
        <f t="shared" si="10"/>
        <v>0</v>
      </c>
      <c r="AD33" s="42">
        <v>0</v>
      </c>
      <c r="AE33" s="41">
        <v>0</v>
      </c>
      <c r="AF33" s="30">
        <f t="shared" si="11"/>
        <v>0</v>
      </c>
      <c r="AG33" s="42">
        <v>0</v>
      </c>
      <c r="AH33" s="41">
        <v>0</v>
      </c>
      <c r="AI33" s="30">
        <f t="shared" si="12"/>
        <v>0</v>
      </c>
      <c r="AJ33" s="42">
        <v>0</v>
      </c>
      <c r="AK33" s="41">
        <v>0</v>
      </c>
      <c r="AL33" s="30">
        <f t="shared" si="13"/>
        <v>0</v>
      </c>
      <c r="AM33" s="42">
        <v>0</v>
      </c>
      <c r="AN33" s="41">
        <v>0</v>
      </c>
      <c r="AO33" s="30">
        <f t="shared" si="14"/>
        <v>0</v>
      </c>
      <c r="AP33" s="42">
        <v>0</v>
      </c>
      <c r="AQ33" s="41">
        <v>0</v>
      </c>
      <c r="AR33" s="30">
        <f t="shared" si="16"/>
        <v>0</v>
      </c>
      <c r="AS33" s="29">
        <f t="shared" si="17"/>
        <v>0</v>
      </c>
      <c r="AT33" s="28" t="str">
        <f t="shared" si="18"/>
        <v>Tidak Ada</v>
      </c>
    </row>
    <row r="34" spans="1:46" x14ac:dyDescent="0.2">
      <c r="A34" s="14" t="s">
        <v>31</v>
      </c>
      <c r="B34" s="14" t="s">
        <v>77</v>
      </c>
      <c r="C34" s="42">
        <v>0</v>
      </c>
      <c r="D34" s="41">
        <v>0</v>
      </c>
      <c r="E34" s="30">
        <f t="shared" si="2"/>
        <v>0</v>
      </c>
      <c r="F34" s="42">
        <v>0</v>
      </c>
      <c r="G34" s="41">
        <v>0</v>
      </c>
      <c r="H34" s="30">
        <f t="shared" si="3"/>
        <v>0</v>
      </c>
      <c r="I34" s="42">
        <v>0</v>
      </c>
      <c r="J34" s="41">
        <v>0</v>
      </c>
      <c r="K34" s="30">
        <f t="shared" si="4"/>
        <v>0</v>
      </c>
      <c r="L34" s="42">
        <v>0</v>
      </c>
      <c r="M34" s="41">
        <v>0</v>
      </c>
      <c r="N34" s="30">
        <f t="shared" si="5"/>
        <v>0</v>
      </c>
      <c r="O34" s="42">
        <v>0</v>
      </c>
      <c r="P34" s="41">
        <v>0</v>
      </c>
      <c r="Q34" s="30">
        <f t="shared" si="6"/>
        <v>0</v>
      </c>
      <c r="R34" s="42">
        <v>0</v>
      </c>
      <c r="S34" s="41">
        <v>0</v>
      </c>
      <c r="T34" s="30">
        <f t="shared" si="7"/>
        <v>0</v>
      </c>
      <c r="U34" s="42">
        <v>0</v>
      </c>
      <c r="V34" s="41">
        <v>0</v>
      </c>
      <c r="W34" s="30">
        <f t="shared" si="8"/>
        <v>0</v>
      </c>
      <c r="X34" s="42">
        <v>0</v>
      </c>
      <c r="Y34" s="41">
        <v>0</v>
      </c>
      <c r="Z34" s="30">
        <f t="shared" si="9"/>
        <v>0</v>
      </c>
      <c r="AA34" s="42">
        <v>0</v>
      </c>
      <c r="AB34" s="41">
        <v>0</v>
      </c>
      <c r="AC34" s="30">
        <f t="shared" si="10"/>
        <v>0</v>
      </c>
      <c r="AD34" s="42">
        <v>0</v>
      </c>
      <c r="AE34" s="41">
        <v>0</v>
      </c>
      <c r="AF34" s="30">
        <f t="shared" si="11"/>
        <v>0</v>
      </c>
      <c r="AG34" s="42">
        <v>0</v>
      </c>
      <c r="AH34" s="41">
        <v>0</v>
      </c>
      <c r="AI34" s="30">
        <f t="shared" si="12"/>
        <v>0</v>
      </c>
      <c r="AJ34" s="42">
        <v>0</v>
      </c>
      <c r="AK34" s="41">
        <v>0</v>
      </c>
      <c r="AL34" s="30">
        <f t="shared" si="13"/>
        <v>0</v>
      </c>
      <c r="AM34" s="42">
        <v>0</v>
      </c>
      <c r="AN34" s="41">
        <v>0</v>
      </c>
      <c r="AO34" s="30">
        <f t="shared" si="14"/>
        <v>0</v>
      </c>
      <c r="AP34" s="42">
        <v>0</v>
      </c>
      <c r="AQ34" s="41">
        <v>0</v>
      </c>
      <c r="AR34" s="30">
        <f t="shared" si="16"/>
        <v>0</v>
      </c>
      <c r="AS34" s="29">
        <f t="shared" si="17"/>
        <v>0</v>
      </c>
      <c r="AT34" s="28" t="str">
        <f t="shared" si="18"/>
        <v>Tidak Ada</v>
      </c>
    </row>
    <row r="35" spans="1:46" x14ac:dyDescent="0.2">
      <c r="A35" s="14" t="s">
        <v>31</v>
      </c>
      <c r="B35" s="14" t="s">
        <v>78</v>
      </c>
      <c r="C35" s="42">
        <v>0</v>
      </c>
      <c r="D35" s="41">
        <v>0</v>
      </c>
      <c r="E35" s="30">
        <f t="shared" si="2"/>
        <v>0</v>
      </c>
      <c r="F35" s="42">
        <v>0</v>
      </c>
      <c r="G35" s="41">
        <v>0</v>
      </c>
      <c r="H35" s="30">
        <f t="shared" si="3"/>
        <v>0</v>
      </c>
      <c r="I35" s="42">
        <v>0</v>
      </c>
      <c r="J35" s="41">
        <v>0</v>
      </c>
      <c r="K35" s="30">
        <f t="shared" si="4"/>
        <v>0</v>
      </c>
      <c r="L35" s="42">
        <v>0</v>
      </c>
      <c r="M35" s="41">
        <v>0</v>
      </c>
      <c r="N35" s="30">
        <f t="shared" si="5"/>
        <v>0</v>
      </c>
      <c r="O35" s="42">
        <v>0</v>
      </c>
      <c r="P35" s="41">
        <v>0</v>
      </c>
      <c r="Q35" s="30">
        <f t="shared" si="6"/>
        <v>0</v>
      </c>
      <c r="R35" s="42">
        <v>0</v>
      </c>
      <c r="S35" s="41">
        <v>0</v>
      </c>
      <c r="T35" s="30">
        <f t="shared" si="7"/>
        <v>0</v>
      </c>
      <c r="U35" s="42">
        <v>0</v>
      </c>
      <c r="V35" s="41">
        <v>0</v>
      </c>
      <c r="W35" s="30">
        <f t="shared" si="8"/>
        <v>0</v>
      </c>
      <c r="X35" s="42">
        <v>0</v>
      </c>
      <c r="Y35" s="41">
        <v>0</v>
      </c>
      <c r="Z35" s="30">
        <f t="shared" si="9"/>
        <v>0</v>
      </c>
      <c r="AA35" s="42">
        <v>0</v>
      </c>
      <c r="AB35" s="41">
        <v>0</v>
      </c>
      <c r="AC35" s="30">
        <f t="shared" si="10"/>
        <v>0</v>
      </c>
      <c r="AD35" s="42">
        <v>0</v>
      </c>
      <c r="AE35" s="41">
        <v>0</v>
      </c>
      <c r="AF35" s="30">
        <f t="shared" si="11"/>
        <v>0</v>
      </c>
      <c r="AG35" s="42">
        <v>0</v>
      </c>
      <c r="AH35" s="41">
        <v>0</v>
      </c>
      <c r="AI35" s="30">
        <f t="shared" si="12"/>
        <v>0</v>
      </c>
      <c r="AJ35" s="42">
        <v>0</v>
      </c>
      <c r="AK35" s="41">
        <v>0</v>
      </c>
      <c r="AL35" s="30">
        <f t="shared" si="13"/>
        <v>0</v>
      </c>
      <c r="AM35" s="42">
        <v>0</v>
      </c>
      <c r="AN35" s="41">
        <v>0</v>
      </c>
      <c r="AO35" s="30">
        <f t="shared" si="14"/>
        <v>0</v>
      </c>
      <c r="AP35" s="42">
        <v>0</v>
      </c>
      <c r="AQ35" s="41">
        <v>0</v>
      </c>
      <c r="AR35" s="30">
        <f t="shared" si="16"/>
        <v>0</v>
      </c>
      <c r="AS35" s="29">
        <f t="shared" si="17"/>
        <v>0</v>
      </c>
      <c r="AT35" s="28" t="str">
        <f t="shared" si="18"/>
        <v>Tidak Ada</v>
      </c>
    </row>
    <row r="36" spans="1:46" x14ac:dyDescent="0.2">
      <c r="A36" s="14" t="s">
        <v>31</v>
      </c>
      <c r="B36" s="14" t="s">
        <v>79</v>
      </c>
      <c r="C36" s="42">
        <v>0</v>
      </c>
      <c r="D36" s="41">
        <v>0</v>
      </c>
      <c r="E36" s="30">
        <f t="shared" si="2"/>
        <v>0</v>
      </c>
      <c r="F36" s="42">
        <v>0</v>
      </c>
      <c r="G36" s="41">
        <v>0</v>
      </c>
      <c r="H36" s="30">
        <f t="shared" si="3"/>
        <v>0</v>
      </c>
      <c r="I36" s="42">
        <v>0</v>
      </c>
      <c r="J36" s="41">
        <v>0</v>
      </c>
      <c r="K36" s="30">
        <f t="shared" si="4"/>
        <v>0</v>
      </c>
      <c r="L36" s="42">
        <v>0</v>
      </c>
      <c r="M36" s="41">
        <v>0</v>
      </c>
      <c r="N36" s="30">
        <f t="shared" si="5"/>
        <v>0</v>
      </c>
      <c r="O36" s="42">
        <v>0</v>
      </c>
      <c r="P36" s="41">
        <v>0</v>
      </c>
      <c r="Q36" s="30">
        <f t="shared" si="6"/>
        <v>0</v>
      </c>
      <c r="R36" s="42">
        <v>0</v>
      </c>
      <c r="S36" s="41">
        <v>0</v>
      </c>
      <c r="T36" s="30">
        <f t="shared" si="7"/>
        <v>0</v>
      </c>
      <c r="U36" s="42">
        <v>0</v>
      </c>
      <c r="V36" s="41">
        <v>0</v>
      </c>
      <c r="W36" s="30">
        <f t="shared" si="8"/>
        <v>0</v>
      </c>
      <c r="X36" s="42">
        <v>0</v>
      </c>
      <c r="Y36" s="41">
        <v>0</v>
      </c>
      <c r="Z36" s="30">
        <f t="shared" si="9"/>
        <v>0</v>
      </c>
      <c r="AA36" s="42">
        <v>0</v>
      </c>
      <c r="AB36" s="41">
        <v>0</v>
      </c>
      <c r="AC36" s="30">
        <f t="shared" si="10"/>
        <v>0</v>
      </c>
      <c r="AD36" s="42">
        <v>0</v>
      </c>
      <c r="AE36" s="41">
        <v>0</v>
      </c>
      <c r="AF36" s="30">
        <f t="shared" si="11"/>
        <v>0</v>
      </c>
      <c r="AG36" s="42">
        <v>0</v>
      </c>
      <c r="AH36" s="41">
        <v>0</v>
      </c>
      <c r="AI36" s="30">
        <f t="shared" si="12"/>
        <v>0</v>
      </c>
      <c r="AJ36" s="42">
        <v>0</v>
      </c>
      <c r="AK36" s="41">
        <v>0</v>
      </c>
      <c r="AL36" s="30">
        <f t="shared" si="13"/>
        <v>0</v>
      </c>
      <c r="AM36" s="42">
        <v>0</v>
      </c>
      <c r="AN36" s="41">
        <v>0</v>
      </c>
      <c r="AO36" s="30">
        <f t="shared" si="14"/>
        <v>0</v>
      </c>
      <c r="AP36" s="42">
        <v>0</v>
      </c>
      <c r="AQ36" s="41">
        <v>0</v>
      </c>
      <c r="AR36" s="30">
        <f t="shared" si="16"/>
        <v>0</v>
      </c>
      <c r="AS36" s="29">
        <f t="shared" si="17"/>
        <v>0</v>
      </c>
      <c r="AT36" s="28" t="str">
        <f t="shared" si="18"/>
        <v>Tidak Ada</v>
      </c>
    </row>
    <row r="37" spans="1:46" x14ac:dyDescent="0.2">
      <c r="A37" s="14" t="s">
        <v>31</v>
      </c>
      <c r="B37" s="14" t="s">
        <v>80</v>
      </c>
      <c r="C37" s="42">
        <v>0</v>
      </c>
      <c r="D37" s="41">
        <v>0</v>
      </c>
      <c r="E37" s="30">
        <f t="shared" si="2"/>
        <v>0</v>
      </c>
      <c r="F37" s="42">
        <v>0</v>
      </c>
      <c r="G37" s="41">
        <v>0</v>
      </c>
      <c r="H37" s="30">
        <f t="shared" si="3"/>
        <v>0</v>
      </c>
      <c r="I37" s="42">
        <v>0</v>
      </c>
      <c r="J37" s="41">
        <v>0</v>
      </c>
      <c r="K37" s="30">
        <f t="shared" si="4"/>
        <v>0</v>
      </c>
      <c r="L37" s="42">
        <v>0</v>
      </c>
      <c r="M37" s="41">
        <v>0</v>
      </c>
      <c r="N37" s="30">
        <f t="shared" si="5"/>
        <v>0</v>
      </c>
      <c r="O37" s="42">
        <v>0</v>
      </c>
      <c r="P37" s="41">
        <v>0</v>
      </c>
      <c r="Q37" s="30">
        <f t="shared" si="6"/>
        <v>0</v>
      </c>
      <c r="R37" s="42">
        <v>0</v>
      </c>
      <c r="S37" s="41">
        <v>0</v>
      </c>
      <c r="T37" s="30">
        <f t="shared" si="7"/>
        <v>0</v>
      </c>
      <c r="U37" s="42">
        <v>0</v>
      </c>
      <c r="V37" s="41">
        <v>0</v>
      </c>
      <c r="W37" s="30">
        <f t="shared" si="8"/>
        <v>0</v>
      </c>
      <c r="X37" s="42">
        <v>0</v>
      </c>
      <c r="Y37" s="41">
        <v>0</v>
      </c>
      <c r="Z37" s="30">
        <f t="shared" si="9"/>
        <v>0</v>
      </c>
      <c r="AA37" s="42">
        <v>0</v>
      </c>
      <c r="AB37" s="41">
        <v>0</v>
      </c>
      <c r="AC37" s="30">
        <f t="shared" si="10"/>
        <v>0</v>
      </c>
      <c r="AD37" s="42">
        <v>0</v>
      </c>
      <c r="AE37" s="41">
        <v>0</v>
      </c>
      <c r="AF37" s="30">
        <f t="shared" si="11"/>
        <v>0</v>
      </c>
      <c r="AG37" s="42">
        <v>0</v>
      </c>
      <c r="AH37" s="41">
        <v>0</v>
      </c>
      <c r="AI37" s="30">
        <f t="shared" si="12"/>
        <v>0</v>
      </c>
      <c r="AJ37" s="42">
        <v>0</v>
      </c>
      <c r="AK37" s="41">
        <v>0</v>
      </c>
      <c r="AL37" s="30">
        <f t="shared" si="13"/>
        <v>0</v>
      </c>
      <c r="AM37" s="42">
        <v>0</v>
      </c>
      <c r="AN37" s="41">
        <v>0</v>
      </c>
      <c r="AO37" s="30">
        <f t="shared" si="14"/>
        <v>0</v>
      </c>
      <c r="AP37" s="42">
        <v>0</v>
      </c>
      <c r="AQ37" s="41">
        <v>0</v>
      </c>
      <c r="AR37" s="30">
        <f t="shared" si="16"/>
        <v>0</v>
      </c>
      <c r="AS37" s="29">
        <f t="shared" si="17"/>
        <v>0</v>
      </c>
      <c r="AT37" s="28" t="str">
        <f t="shared" si="18"/>
        <v>Tidak Ada</v>
      </c>
    </row>
    <row r="38" spans="1:46" x14ac:dyDescent="0.2">
      <c r="A38" s="14" t="s">
        <v>31</v>
      </c>
      <c r="B38" s="14" t="s">
        <v>81</v>
      </c>
      <c r="C38" s="42">
        <v>0</v>
      </c>
      <c r="D38" s="41">
        <v>0</v>
      </c>
      <c r="E38" s="30">
        <f t="shared" si="2"/>
        <v>0</v>
      </c>
      <c r="F38" s="42">
        <v>0</v>
      </c>
      <c r="G38" s="41">
        <v>0</v>
      </c>
      <c r="H38" s="30">
        <f t="shared" si="3"/>
        <v>0</v>
      </c>
      <c r="I38" s="42">
        <v>0</v>
      </c>
      <c r="J38" s="41">
        <v>0</v>
      </c>
      <c r="K38" s="30">
        <f t="shared" si="4"/>
        <v>0</v>
      </c>
      <c r="L38" s="42">
        <v>0</v>
      </c>
      <c r="M38" s="41">
        <v>0</v>
      </c>
      <c r="N38" s="30">
        <f t="shared" si="5"/>
        <v>0</v>
      </c>
      <c r="O38" s="42">
        <v>0</v>
      </c>
      <c r="P38" s="41">
        <v>0</v>
      </c>
      <c r="Q38" s="30">
        <f t="shared" si="6"/>
        <v>0</v>
      </c>
      <c r="R38" s="42">
        <v>0</v>
      </c>
      <c r="S38" s="41">
        <v>0</v>
      </c>
      <c r="T38" s="30">
        <f t="shared" si="7"/>
        <v>0</v>
      </c>
      <c r="U38" s="42">
        <v>0</v>
      </c>
      <c r="V38" s="41">
        <v>0</v>
      </c>
      <c r="W38" s="30">
        <f t="shared" si="8"/>
        <v>0</v>
      </c>
      <c r="X38" s="42">
        <v>0</v>
      </c>
      <c r="Y38" s="41">
        <v>0</v>
      </c>
      <c r="Z38" s="30">
        <f t="shared" si="9"/>
        <v>0</v>
      </c>
      <c r="AA38" s="42">
        <v>0</v>
      </c>
      <c r="AB38" s="41">
        <v>0</v>
      </c>
      <c r="AC38" s="30">
        <f t="shared" si="10"/>
        <v>0</v>
      </c>
      <c r="AD38" s="42">
        <v>0</v>
      </c>
      <c r="AE38" s="41">
        <v>0</v>
      </c>
      <c r="AF38" s="30">
        <f t="shared" si="11"/>
        <v>0</v>
      </c>
      <c r="AG38" s="42">
        <v>0</v>
      </c>
      <c r="AH38" s="41">
        <v>0</v>
      </c>
      <c r="AI38" s="30">
        <f t="shared" si="12"/>
        <v>0</v>
      </c>
      <c r="AJ38" s="42">
        <v>0</v>
      </c>
      <c r="AK38" s="41">
        <v>0</v>
      </c>
      <c r="AL38" s="30">
        <f t="shared" si="13"/>
        <v>0</v>
      </c>
      <c r="AM38" s="42">
        <v>0</v>
      </c>
      <c r="AN38" s="41">
        <v>0</v>
      </c>
      <c r="AO38" s="30">
        <f t="shared" si="14"/>
        <v>0</v>
      </c>
      <c r="AP38" s="42">
        <v>0</v>
      </c>
      <c r="AQ38" s="41">
        <v>0</v>
      </c>
      <c r="AR38" s="30">
        <f t="shared" si="16"/>
        <v>0</v>
      </c>
      <c r="AS38" s="29">
        <f t="shared" si="17"/>
        <v>0</v>
      </c>
      <c r="AT38" s="28" t="str">
        <f>IF(AS38&gt;0,"Ada","Tidak Ada")</f>
        <v>Tidak Ada</v>
      </c>
    </row>
    <row r="39" spans="1:46" x14ac:dyDescent="0.2">
      <c r="A39" s="14" t="s">
        <v>31</v>
      </c>
      <c r="B39" s="14" t="s">
        <v>82</v>
      </c>
      <c r="C39" s="42">
        <v>0</v>
      </c>
      <c r="D39" s="41">
        <v>0</v>
      </c>
      <c r="E39" s="30">
        <f t="shared" si="2"/>
        <v>0</v>
      </c>
      <c r="F39" s="42">
        <v>0</v>
      </c>
      <c r="G39" s="41">
        <v>0</v>
      </c>
      <c r="H39" s="30">
        <f t="shared" si="3"/>
        <v>0</v>
      </c>
      <c r="I39" s="42">
        <v>0</v>
      </c>
      <c r="J39" s="41">
        <v>0</v>
      </c>
      <c r="K39" s="30">
        <f t="shared" si="4"/>
        <v>0</v>
      </c>
      <c r="L39" s="42">
        <v>0</v>
      </c>
      <c r="M39" s="41">
        <v>0</v>
      </c>
      <c r="N39" s="30">
        <f t="shared" si="5"/>
        <v>0</v>
      </c>
      <c r="O39" s="42">
        <v>0</v>
      </c>
      <c r="P39" s="41">
        <v>0</v>
      </c>
      <c r="Q39" s="30">
        <f t="shared" si="6"/>
        <v>0</v>
      </c>
      <c r="R39" s="42">
        <v>0</v>
      </c>
      <c r="S39" s="41">
        <v>0</v>
      </c>
      <c r="T39" s="30">
        <f t="shared" si="7"/>
        <v>0</v>
      </c>
      <c r="U39" s="42">
        <v>0</v>
      </c>
      <c r="V39" s="41">
        <v>0</v>
      </c>
      <c r="W39" s="30">
        <f t="shared" si="8"/>
        <v>0</v>
      </c>
      <c r="X39" s="42">
        <v>0</v>
      </c>
      <c r="Y39" s="41">
        <v>0</v>
      </c>
      <c r="Z39" s="30">
        <f t="shared" si="9"/>
        <v>0</v>
      </c>
      <c r="AA39" s="42">
        <v>0</v>
      </c>
      <c r="AB39" s="41">
        <v>0</v>
      </c>
      <c r="AC39" s="30">
        <f t="shared" si="10"/>
        <v>0</v>
      </c>
      <c r="AD39" s="42">
        <v>0</v>
      </c>
      <c r="AE39" s="41">
        <v>0</v>
      </c>
      <c r="AF39" s="30">
        <f t="shared" si="11"/>
        <v>0</v>
      </c>
      <c r="AG39" s="42">
        <v>0</v>
      </c>
      <c r="AH39" s="41">
        <v>0</v>
      </c>
      <c r="AI39" s="30">
        <f t="shared" si="12"/>
        <v>0</v>
      </c>
      <c r="AJ39" s="42">
        <v>0</v>
      </c>
      <c r="AK39" s="41">
        <v>0</v>
      </c>
      <c r="AL39" s="30">
        <f t="shared" si="13"/>
        <v>0</v>
      </c>
      <c r="AM39" s="42">
        <v>0</v>
      </c>
      <c r="AN39" s="41">
        <v>0</v>
      </c>
      <c r="AO39" s="30">
        <f t="shared" si="14"/>
        <v>0</v>
      </c>
      <c r="AP39" s="42">
        <v>0</v>
      </c>
      <c r="AQ39" s="41">
        <v>0</v>
      </c>
      <c r="AR39" s="30">
        <f t="shared" si="16"/>
        <v>0</v>
      </c>
      <c r="AS39" s="29">
        <f t="shared" si="17"/>
        <v>0</v>
      </c>
      <c r="AT39" s="28" t="str">
        <f t="shared" ref="AT39:AT66" si="19">IF(AS39&gt;0,"Ada","Tidak Ada")</f>
        <v>Tidak Ada</v>
      </c>
    </row>
    <row r="40" spans="1:46" x14ac:dyDescent="0.2">
      <c r="A40" s="14" t="s">
        <v>31</v>
      </c>
      <c r="B40" s="14" t="s">
        <v>83</v>
      </c>
      <c r="C40" s="42">
        <v>0</v>
      </c>
      <c r="D40" s="41">
        <v>0</v>
      </c>
      <c r="E40" s="30">
        <f t="shared" si="2"/>
        <v>0</v>
      </c>
      <c r="F40" s="42">
        <v>0</v>
      </c>
      <c r="G40" s="41">
        <v>0</v>
      </c>
      <c r="H40" s="30">
        <f t="shared" si="3"/>
        <v>0</v>
      </c>
      <c r="I40" s="42">
        <v>0</v>
      </c>
      <c r="J40" s="41">
        <v>0</v>
      </c>
      <c r="K40" s="30">
        <f t="shared" si="4"/>
        <v>0</v>
      </c>
      <c r="L40" s="42">
        <v>0</v>
      </c>
      <c r="M40" s="41">
        <v>0</v>
      </c>
      <c r="N40" s="30">
        <f t="shared" si="5"/>
        <v>0</v>
      </c>
      <c r="O40" s="42">
        <v>0</v>
      </c>
      <c r="P40" s="41">
        <v>0</v>
      </c>
      <c r="Q40" s="30">
        <f t="shared" si="6"/>
        <v>0</v>
      </c>
      <c r="R40" s="42">
        <v>0</v>
      </c>
      <c r="S40" s="41">
        <v>0</v>
      </c>
      <c r="T40" s="30">
        <f t="shared" si="7"/>
        <v>0</v>
      </c>
      <c r="U40" s="42">
        <v>0</v>
      </c>
      <c r="V40" s="41">
        <v>0</v>
      </c>
      <c r="W40" s="30">
        <f t="shared" si="8"/>
        <v>0</v>
      </c>
      <c r="X40" s="42">
        <v>0</v>
      </c>
      <c r="Y40" s="41">
        <v>0</v>
      </c>
      <c r="Z40" s="30">
        <f t="shared" si="9"/>
        <v>0</v>
      </c>
      <c r="AA40" s="42">
        <v>0</v>
      </c>
      <c r="AB40" s="41">
        <v>0</v>
      </c>
      <c r="AC40" s="30">
        <f t="shared" si="10"/>
        <v>0</v>
      </c>
      <c r="AD40" s="42">
        <v>0</v>
      </c>
      <c r="AE40" s="41">
        <v>0</v>
      </c>
      <c r="AF40" s="30">
        <f t="shared" si="11"/>
        <v>0</v>
      </c>
      <c r="AG40" s="42">
        <v>0</v>
      </c>
      <c r="AH40" s="41">
        <v>0</v>
      </c>
      <c r="AI40" s="30">
        <f t="shared" si="12"/>
        <v>0</v>
      </c>
      <c r="AJ40" s="42">
        <v>0</v>
      </c>
      <c r="AK40" s="41">
        <v>0</v>
      </c>
      <c r="AL40" s="30">
        <f t="shared" si="13"/>
        <v>0</v>
      </c>
      <c r="AM40" s="42">
        <v>0</v>
      </c>
      <c r="AN40" s="41">
        <v>0</v>
      </c>
      <c r="AO40" s="30">
        <f t="shared" si="14"/>
        <v>0</v>
      </c>
      <c r="AP40" s="42">
        <v>0</v>
      </c>
      <c r="AQ40" s="41">
        <v>0</v>
      </c>
      <c r="AR40" s="30">
        <f t="shared" si="16"/>
        <v>0</v>
      </c>
      <c r="AS40" s="29">
        <f t="shared" si="17"/>
        <v>0</v>
      </c>
      <c r="AT40" s="28" t="str">
        <f t="shared" si="19"/>
        <v>Tidak Ada</v>
      </c>
    </row>
    <row r="41" spans="1:46" x14ac:dyDescent="0.2">
      <c r="A41" s="14" t="s">
        <v>31</v>
      </c>
      <c r="B41" s="14" t="s">
        <v>84</v>
      </c>
      <c r="C41" s="42">
        <v>0</v>
      </c>
      <c r="D41" s="41">
        <v>0</v>
      </c>
      <c r="E41" s="30">
        <f t="shared" si="2"/>
        <v>0</v>
      </c>
      <c r="F41" s="42">
        <v>0</v>
      </c>
      <c r="G41" s="41">
        <v>0</v>
      </c>
      <c r="H41" s="30">
        <f t="shared" si="3"/>
        <v>0</v>
      </c>
      <c r="I41" s="42">
        <v>0</v>
      </c>
      <c r="J41" s="41">
        <v>0</v>
      </c>
      <c r="K41" s="30">
        <f t="shared" si="4"/>
        <v>0</v>
      </c>
      <c r="L41" s="42">
        <v>0</v>
      </c>
      <c r="M41" s="41">
        <v>0</v>
      </c>
      <c r="N41" s="30">
        <f t="shared" si="5"/>
        <v>0</v>
      </c>
      <c r="O41" s="42">
        <v>0</v>
      </c>
      <c r="P41" s="41">
        <v>0</v>
      </c>
      <c r="Q41" s="30">
        <f t="shared" si="6"/>
        <v>0</v>
      </c>
      <c r="R41" s="42">
        <v>0</v>
      </c>
      <c r="S41" s="41">
        <v>0</v>
      </c>
      <c r="T41" s="30">
        <f t="shared" si="7"/>
        <v>0</v>
      </c>
      <c r="U41" s="42">
        <v>0</v>
      </c>
      <c r="V41" s="41">
        <v>0</v>
      </c>
      <c r="W41" s="30">
        <f t="shared" si="8"/>
        <v>0</v>
      </c>
      <c r="X41" s="42">
        <v>0</v>
      </c>
      <c r="Y41" s="41">
        <v>0</v>
      </c>
      <c r="Z41" s="30">
        <f t="shared" si="9"/>
        <v>0</v>
      </c>
      <c r="AA41" s="42">
        <v>0</v>
      </c>
      <c r="AB41" s="41">
        <v>0</v>
      </c>
      <c r="AC41" s="30">
        <f t="shared" si="10"/>
        <v>0</v>
      </c>
      <c r="AD41" s="42">
        <v>0</v>
      </c>
      <c r="AE41" s="41">
        <v>0</v>
      </c>
      <c r="AF41" s="30">
        <f t="shared" si="11"/>
        <v>0</v>
      </c>
      <c r="AG41" s="42">
        <v>0</v>
      </c>
      <c r="AH41" s="41">
        <v>0</v>
      </c>
      <c r="AI41" s="30">
        <f t="shared" si="12"/>
        <v>0</v>
      </c>
      <c r="AJ41" s="42">
        <v>0</v>
      </c>
      <c r="AK41" s="41">
        <v>0</v>
      </c>
      <c r="AL41" s="30">
        <f t="shared" si="13"/>
        <v>0</v>
      </c>
      <c r="AM41" s="42">
        <v>0</v>
      </c>
      <c r="AN41" s="41">
        <v>0</v>
      </c>
      <c r="AO41" s="30">
        <f t="shared" si="14"/>
        <v>0</v>
      </c>
      <c r="AP41" s="42">
        <v>0</v>
      </c>
      <c r="AQ41" s="41">
        <v>0</v>
      </c>
      <c r="AR41" s="30">
        <f t="shared" si="16"/>
        <v>0</v>
      </c>
      <c r="AS41" s="29">
        <f t="shared" si="17"/>
        <v>0</v>
      </c>
      <c r="AT41" s="28" t="str">
        <f t="shared" si="19"/>
        <v>Tidak Ada</v>
      </c>
    </row>
    <row r="42" spans="1:46" x14ac:dyDescent="0.2">
      <c r="A42" s="14" t="s">
        <v>31</v>
      </c>
      <c r="B42" s="14" t="s">
        <v>85</v>
      </c>
      <c r="C42" s="42">
        <v>0</v>
      </c>
      <c r="D42" s="41">
        <v>0</v>
      </c>
      <c r="E42" s="30">
        <f t="shared" si="2"/>
        <v>0</v>
      </c>
      <c r="F42" s="42">
        <v>0</v>
      </c>
      <c r="G42" s="41">
        <v>0</v>
      </c>
      <c r="H42" s="30">
        <f t="shared" si="3"/>
        <v>0</v>
      </c>
      <c r="I42" s="42">
        <v>0</v>
      </c>
      <c r="J42" s="41">
        <v>0</v>
      </c>
      <c r="K42" s="30">
        <f t="shared" si="4"/>
        <v>0</v>
      </c>
      <c r="L42" s="42">
        <v>0</v>
      </c>
      <c r="M42" s="41">
        <v>0</v>
      </c>
      <c r="N42" s="30">
        <f t="shared" si="5"/>
        <v>0</v>
      </c>
      <c r="O42" s="42">
        <v>0</v>
      </c>
      <c r="P42" s="41">
        <v>0</v>
      </c>
      <c r="Q42" s="30">
        <f t="shared" si="6"/>
        <v>0</v>
      </c>
      <c r="R42" s="42">
        <v>0</v>
      </c>
      <c r="S42" s="41">
        <v>0</v>
      </c>
      <c r="T42" s="30">
        <f t="shared" si="7"/>
        <v>0</v>
      </c>
      <c r="U42" s="42">
        <v>0</v>
      </c>
      <c r="V42" s="41">
        <v>0</v>
      </c>
      <c r="W42" s="30">
        <f t="shared" si="8"/>
        <v>0</v>
      </c>
      <c r="X42" s="42">
        <v>0</v>
      </c>
      <c r="Y42" s="41">
        <v>0</v>
      </c>
      <c r="Z42" s="30">
        <f t="shared" si="9"/>
        <v>0</v>
      </c>
      <c r="AA42" s="42">
        <v>0</v>
      </c>
      <c r="AB42" s="41">
        <v>0</v>
      </c>
      <c r="AC42" s="30">
        <f t="shared" si="10"/>
        <v>0</v>
      </c>
      <c r="AD42" s="42">
        <v>0</v>
      </c>
      <c r="AE42" s="41">
        <v>0</v>
      </c>
      <c r="AF42" s="30">
        <f t="shared" si="11"/>
        <v>0</v>
      </c>
      <c r="AG42" s="42">
        <v>0</v>
      </c>
      <c r="AH42" s="41">
        <v>0</v>
      </c>
      <c r="AI42" s="30">
        <f t="shared" si="12"/>
        <v>0</v>
      </c>
      <c r="AJ42" s="42">
        <v>0</v>
      </c>
      <c r="AK42" s="41">
        <v>0</v>
      </c>
      <c r="AL42" s="30">
        <f t="shared" si="13"/>
        <v>0</v>
      </c>
      <c r="AM42" s="42">
        <v>0</v>
      </c>
      <c r="AN42" s="41">
        <v>0</v>
      </c>
      <c r="AO42" s="30">
        <f t="shared" si="14"/>
        <v>0</v>
      </c>
      <c r="AP42" s="42">
        <v>0</v>
      </c>
      <c r="AQ42" s="41">
        <v>0</v>
      </c>
      <c r="AR42" s="30">
        <f t="shared" si="16"/>
        <v>0</v>
      </c>
      <c r="AS42" s="29">
        <f t="shared" si="17"/>
        <v>0</v>
      </c>
      <c r="AT42" s="28" t="str">
        <f t="shared" si="19"/>
        <v>Tidak Ada</v>
      </c>
    </row>
    <row r="43" spans="1:46" x14ac:dyDescent="0.2">
      <c r="A43" s="14" t="s">
        <v>31</v>
      </c>
      <c r="B43" s="14" t="s">
        <v>25</v>
      </c>
      <c r="C43" s="42">
        <v>0</v>
      </c>
      <c r="D43" s="41">
        <v>0</v>
      </c>
      <c r="E43" s="30">
        <f t="shared" si="2"/>
        <v>0</v>
      </c>
      <c r="F43" s="42">
        <v>0</v>
      </c>
      <c r="G43" s="41">
        <v>0</v>
      </c>
      <c r="H43" s="30">
        <f t="shared" si="3"/>
        <v>0</v>
      </c>
      <c r="I43" s="42">
        <v>0</v>
      </c>
      <c r="J43" s="41">
        <v>0</v>
      </c>
      <c r="K43" s="30">
        <f t="shared" si="4"/>
        <v>0</v>
      </c>
      <c r="L43" s="42">
        <v>0</v>
      </c>
      <c r="M43" s="41">
        <v>0</v>
      </c>
      <c r="N43" s="30">
        <f t="shared" si="5"/>
        <v>0</v>
      </c>
      <c r="O43" s="42">
        <v>0</v>
      </c>
      <c r="P43" s="41">
        <v>0</v>
      </c>
      <c r="Q43" s="30">
        <f t="shared" si="6"/>
        <v>0</v>
      </c>
      <c r="R43" s="42">
        <v>0</v>
      </c>
      <c r="S43" s="41">
        <v>0</v>
      </c>
      <c r="T43" s="30">
        <f t="shared" si="7"/>
        <v>0</v>
      </c>
      <c r="U43" s="42">
        <v>0</v>
      </c>
      <c r="V43" s="41">
        <v>0</v>
      </c>
      <c r="W43" s="30">
        <f t="shared" si="8"/>
        <v>0</v>
      </c>
      <c r="X43" s="42">
        <v>0</v>
      </c>
      <c r="Y43" s="41">
        <v>0</v>
      </c>
      <c r="Z43" s="30">
        <f t="shared" si="9"/>
        <v>0</v>
      </c>
      <c r="AA43" s="42">
        <v>0</v>
      </c>
      <c r="AB43" s="41">
        <v>0</v>
      </c>
      <c r="AC43" s="30">
        <f t="shared" si="10"/>
        <v>0</v>
      </c>
      <c r="AD43" s="42">
        <v>0</v>
      </c>
      <c r="AE43" s="41">
        <v>0</v>
      </c>
      <c r="AF43" s="30">
        <f t="shared" si="11"/>
        <v>0</v>
      </c>
      <c r="AG43" s="42">
        <v>0</v>
      </c>
      <c r="AH43" s="41">
        <v>0</v>
      </c>
      <c r="AI43" s="30">
        <f t="shared" si="12"/>
        <v>0</v>
      </c>
      <c r="AJ43" s="42">
        <v>0</v>
      </c>
      <c r="AK43" s="41">
        <v>0</v>
      </c>
      <c r="AL43" s="30">
        <f t="shared" si="13"/>
        <v>0</v>
      </c>
      <c r="AM43" s="42">
        <v>0</v>
      </c>
      <c r="AN43" s="41">
        <v>0</v>
      </c>
      <c r="AO43" s="30">
        <f t="shared" si="14"/>
        <v>0</v>
      </c>
      <c r="AP43" s="42">
        <v>0</v>
      </c>
      <c r="AQ43" s="41">
        <v>0</v>
      </c>
      <c r="AR43" s="30">
        <f t="shared" si="16"/>
        <v>0</v>
      </c>
      <c r="AS43" s="29">
        <f t="shared" si="17"/>
        <v>0</v>
      </c>
      <c r="AT43" s="28" t="str">
        <f t="shared" si="19"/>
        <v>Tidak Ada</v>
      </c>
    </row>
    <row r="44" spans="1:46" x14ac:dyDescent="0.2">
      <c r="A44" s="14" t="s">
        <v>31</v>
      </c>
      <c r="B44" s="14" t="s">
        <v>86</v>
      </c>
      <c r="C44" s="42">
        <v>0</v>
      </c>
      <c r="D44" s="41">
        <v>0</v>
      </c>
      <c r="E44" s="30">
        <f t="shared" si="2"/>
        <v>0</v>
      </c>
      <c r="F44" s="42">
        <v>0</v>
      </c>
      <c r="G44" s="41">
        <v>0</v>
      </c>
      <c r="H44" s="30">
        <f t="shared" si="3"/>
        <v>0</v>
      </c>
      <c r="I44" s="42">
        <v>0</v>
      </c>
      <c r="J44" s="41">
        <v>0</v>
      </c>
      <c r="K44" s="30">
        <f t="shared" si="4"/>
        <v>0</v>
      </c>
      <c r="L44" s="42">
        <v>0</v>
      </c>
      <c r="M44" s="41">
        <v>0</v>
      </c>
      <c r="N44" s="30">
        <f t="shared" si="5"/>
        <v>0</v>
      </c>
      <c r="O44" s="42">
        <v>0</v>
      </c>
      <c r="P44" s="41">
        <v>0</v>
      </c>
      <c r="Q44" s="30">
        <f t="shared" si="6"/>
        <v>0</v>
      </c>
      <c r="R44" s="42">
        <v>0</v>
      </c>
      <c r="S44" s="41">
        <v>0</v>
      </c>
      <c r="T44" s="30">
        <f t="shared" si="7"/>
        <v>0</v>
      </c>
      <c r="U44" s="42">
        <v>0</v>
      </c>
      <c r="V44" s="41">
        <v>0</v>
      </c>
      <c r="W44" s="30">
        <f t="shared" si="8"/>
        <v>0</v>
      </c>
      <c r="X44" s="42">
        <v>0</v>
      </c>
      <c r="Y44" s="41">
        <v>0</v>
      </c>
      <c r="Z44" s="30">
        <f t="shared" si="9"/>
        <v>0</v>
      </c>
      <c r="AA44" s="42">
        <v>0</v>
      </c>
      <c r="AB44" s="41">
        <v>0</v>
      </c>
      <c r="AC44" s="30">
        <f t="shared" si="10"/>
        <v>0</v>
      </c>
      <c r="AD44" s="42">
        <v>0</v>
      </c>
      <c r="AE44" s="41">
        <v>0</v>
      </c>
      <c r="AF44" s="30">
        <f t="shared" si="11"/>
        <v>0</v>
      </c>
      <c r="AG44" s="42">
        <v>0</v>
      </c>
      <c r="AH44" s="41">
        <v>0</v>
      </c>
      <c r="AI44" s="30">
        <f t="shared" si="12"/>
        <v>0</v>
      </c>
      <c r="AJ44" s="42">
        <v>0</v>
      </c>
      <c r="AK44" s="41">
        <v>0</v>
      </c>
      <c r="AL44" s="30">
        <f t="shared" si="13"/>
        <v>0</v>
      </c>
      <c r="AM44" s="42">
        <v>0</v>
      </c>
      <c r="AN44" s="41">
        <v>0</v>
      </c>
      <c r="AO44" s="30">
        <f t="shared" si="14"/>
        <v>0</v>
      </c>
      <c r="AP44" s="42">
        <v>0</v>
      </c>
      <c r="AQ44" s="41">
        <v>0</v>
      </c>
      <c r="AR44" s="30">
        <f t="shared" si="16"/>
        <v>0</v>
      </c>
      <c r="AS44" s="29">
        <f t="shared" si="17"/>
        <v>0</v>
      </c>
      <c r="AT44" s="28" t="str">
        <f t="shared" si="19"/>
        <v>Tidak Ada</v>
      </c>
    </row>
    <row r="45" spans="1:46" x14ac:dyDescent="0.2">
      <c r="A45" s="14" t="s">
        <v>31</v>
      </c>
      <c r="B45" s="14" t="s">
        <v>87</v>
      </c>
      <c r="C45" s="42">
        <v>0</v>
      </c>
      <c r="D45" s="41">
        <v>0</v>
      </c>
      <c r="E45" s="30">
        <f t="shared" si="2"/>
        <v>0</v>
      </c>
      <c r="F45" s="42">
        <v>0</v>
      </c>
      <c r="G45" s="41">
        <v>0</v>
      </c>
      <c r="H45" s="30">
        <f t="shared" si="3"/>
        <v>0</v>
      </c>
      <c r="I45" s="42">
        <v>0</v>
      </c>
      <c r="J45" s="41">
        <v>0</v>
      </c>
      <c r="K45" s="30">
        <f t="shared" si="4"/>
        <v>0</v>
      </c>
      <c r="L45" s="42">
        <v>0</v>
      </c>
      <c r="M45" s="41">
        <v>0</v>
      </c>
      <c r="N45" s="30">
        <f t="shared" si="5"/>
        <v>0</v>
      </c>
      <c r="O45" s="42">
        <v>0</v>
      </c>
      <c r="P45" s="41">
        <v>0</v>
      </c>
      <c r="Q45" s="30">
        <f t="shared" si="6"/>
        <v>0</v>
      </c>
      <c r="R45" s="42">
        <v>0</v>
      </c>
      <c r="S45" s="41">
        <v>0</v>
      </c>
      <c r="T45" s="30">
        <f t="shared" si="7"/>
        <v>0</v>
      </c>
      <c r="U45" s="42">
        <v>0</v>
      </c>
      <c r="V45" s="41">
        <v>0</v>
      </c>
      <c r="W45" s="30">
        <f t="shared" si="8"/>
        <v>0</v>
      </c>
      <c r="X45" s="42">
        <v>0</v>
      </c>
      <c r="Y45" s="41">
        <v>0</v>
      </c>
      <c r="Z45" s="30">
        <f t="shared" si="9"/>
        <v>0</v>
      </c>
      <c r="AA45" s="42">
        <v>0</v>
      </c>
      <c r="AB45" s="41">
        <v>0</v>
      </c>
      <c r="AC45" s="30">
        <f t="shared" si="10"/>
        <v>0</v>
      </c>
      <c r="AD45" s="42">
        <v>0</v>
      </c>
      <c r="AE45" s="41">
        <v>0</v>
      </c>
      <c r="AF45" s="30">
        <f t="shared" si="11"/>
        <v>0</v>
      </c>
      <c r="AG45" s="42">
        <v>0</v>
      </c>
      <c r="AH45" s="41">
        <v>0</v>
      </c>
      <c r="AI45" s="30">
        <f t="shared" si="12"/>
        <v>0</v>
      </c>
      <c r="AJ45" s="42">
        <v>0</v>
      </c>
      <c r="AK45" s="41">
        <v>0</v>
      </c>
      <c r="AL45" s="30">
        <f t="shared" si="13"/>
        <v>0</v>
      </c>
      <c r="AM45" s="42">
        <v>0</v>
      </c>
      <c r="AN45" s="41">
        <v>0</v>
      </c>
      <c r="AO45" s="30">
        <f t="shared" si="14"/>
        <v>0</v>
      </c>
      <c r="AP45" s="42">
        <v>0</v>
      </c>
      <c r="AQ45" s="41">
        <v>0</v>
      </c>
      <c r="AR45" s="30">
        <f t="shared" si="16"/>
        <v>0</v>
      </c>
      <c r="AS45" s="29">
        <f t="shared" si="17"/>
        <v>0</v>
      </c>
      <c r="AT45" s="28" t="str">
        <f t="shared" si="19"/>
        <v>Tidak Ada</v>
      </c>
    </row>
    <row r="46" spans="1:46" x14ac:dyDescent="0.2">
      <c r="A46" s="14" t="s">
        <v>31</v>
      </c>
      <c r="B46" s="14" t="s">
        <v>88</v>
      </c>
      <c r="C46" s="42">
        <v>0</v>
      </c>
      <c r="D46" s="41">
        <v>0</v>
      </c>
      <c r="E46" s="30">
        <f t="shared" si="2"/>
        <v>0</v>
      </c>
      <c r="F46" s="42">
        <v>0</v>
      </c>
      <c r="G46" s="41">
        <v>0</v>
      </c>
      <c r="H46" s="30">
        <f t="shared" si="3"/>
        <v>0</v>
      </c>
      <c r="I46" s="42">
        <v>0</v>
      </c>
      <c r="J46" s="41">
        <v>0</v>
      </c>
      <c r="K46" s="30">
        <f t="shared" si="4"/>
        <v>0</v>
      </c>
      <c r="L46" s="42">
        <v>0</v>
      </c>
      <c r="M46" s="41">
        <v>0</v>
      </c>
      <c r="N46" s="30">
        <f t="shared" si="5"/>
        <v>0</v>
      </c>
      <c r="O46" s="42">
        <v>0</v>
      </c>
      <c r="P46" s="41">
        <v>0</v>
      </c>
      <c r="Q46" s="30">
        <f t="shared" si="6"/>
        <v>0</v>
      </c>
      <c r="R46" s="42">
        <v>0</v>
      </c>
      <c r="S46" s="41">
        <v>0</v>
      </c>
      <c r="T46" s="30">
        <f t="shared" si="7"/>
        <v>0</v>
      </c>
      <c r="U46" s="42">
        <v>0</v>
      </c>
      <c r="V46" s="41">
        <v>0</v>
      </c>
      <c r="W46" s="30">
        <f t="shared" si="8"/>
        <v>0</v>
      </c>
      <c r="X46" s="42">
        <v>0</v>
      </c>
      <c r="Y46" s="41">
        <v>0</v>
      </c>
      <c r="Z46" s="30">
        <f t="shared" si="9"/>
        <v>0</v>
      </c>
      <c r="AA46" s="42">
        <v>0</v>
      </c>
      <c r="AB46" s="41">
        <v>0</v>
      </c>
      <c r="AC46" s="30">
        <f t="shared" si="10"/>
        <v>0</v>
      </c>
      <c r="AD46" s="42">
        <v>0</v>
      </c>
      <c r="AE46" s="41">
        <v>0</v>
      </c>
      <c r="AF46" s="30">
        <f t="shared" si="11"/>
        <v>0</v>
      </c>
      <c r="AG46" s="42">
        <v>0</v>
      </c>
      <c r="AH46" s="41">
        <v>0</v>
      </c>
      <c r="AI46" s="30">
        <f t="shared" si="12"/>
        <v>0</v>
      </c>
      <c r="AJ46" s="42">
        <v>0</v>
      </c>
      <c r="AK46" s="41">
        <v>0</v>
      </c>
      <c r="AL46" s="30">
        <f t="shared" si="13"/>
        <v>0</v>
      </c>
      <c r="AM46" s="42">
        <v>0</v>
      </c>
      <c r="AN46" s="41">
        <v>0</v>
      </c>
      <c r="AO46" s="30">
        <f t="shared" si="14"/>
        <v>0</v>
      </c>
      <c r="AP46" s="42">
        <v>0</v>
      </c>
      <c r="AQ46" s="41">
        <v>0</v>
      </c>
      <c r="AR46" s="30">
        <f t="shared" si="16"/>
        <v>0</v>
      </c>
      <c r="AS46" s="29">
        <f t="shared" si="17"/>
        <v>0</v>
      </c>
      <c r="AT46" s="28" t="str">
        <f t="shared" si="19"/>
        <v>Tidak Ada</v>
      </c>
    </row>
    <row r="47" spans="1:46" x14ac:dyDescent="0.2">
      <c r="A47" s="14" t="s">
        <v>31</v>
      </c>
      <c r="B47" s="14" t="s">
        <v>89</v>
      </c>
      <c r="C47" s="42">
        <v>0</v>
      </c>
      <c r="D47" s="41">
        <v>0</v>
      </c>
      <c r="E47" s="30">
        <f t="shared" si="2"/>
        <v>0</v>
      </c>
      <c r="F47" s="42">
        <v>0</v>
      </c>
      <c r="G47" s="41">
        <v>0</v>
      </c>
      <c r="H47" s="30">
        <f t="shared" si="3"/>
        <v>0</v>
      </c>
      <c r="I47" s="42">
        <v>0</v>
      </c>
      <c r="J47" s="41">
        <v>0</v>
      </c>
      <c r="K47" s="30">
        <f t="shared" si="4"/>
        <v>0</v>
      </c>
      <c r="L47" s="42">
        <v>0</v>
      </c>
      <c r="M47" s="41">
        <v>0</v>
      </c>
      <c r="N47" s="30">
        <f t="shared" si="5"/>
        <v>0</v>
      </c>
      <c r="O47" s="42">
        <v>0</v>
      </c>
      <c r="P47" s="41">
        <v>0</v>
      </c>
      <c r="Q47" s="30">
        <f t="shared" si="6"/>
        <v>0</v>
      </c>
      <c r="R47" s="42">
        <v>0</v>
      </c>
      <c r="S47" s="41">
        <v>0</v>
      </c>
      <c r="T47" s="30">
        <f t="shared" si="7"/>
        <v>0</v>
      </c>
      <c r="U47" s="42">
        <v>0</v>
      </c>
      <c r="V47" s="41">
        <v>0</v>
      </c>
      <c r="W47" s="30">
        <f t="shared" si="8"/>
        <v>0</v>
      </c>
      <c r="X47" s="42">
        <v>0</v>
      </c>
      <c r="Y47" s="41">
        <v>0</v>
      </c>
      <c r="Z47" s="30">
        <f t="shared" si="9"/>
        <v>0</v>
      </c>
      <c r="AA47" s="42">
        <v>0</v>
      </c>
      <c r="AB47" s="41">
        <v>0</v>
      </c>
      <c r="AC47" s="30">
        <f t="shared" si="10"/>
        <v>0</v>
      </c>
      <c r="AD47" s="42">
        <v>0</v>
      </c>
      <c r="AE47" s="41">
        <v>0</v>
      </c>
      <c r="AF47" s="30">
        <f t="shared" si="11"/>
        <v>0</v>
      </c>
      <c r="AG47" s="42">
        <v>0</v>
      </c>
      <c r="AH47" s="41">
        <v>0</v>
      </c>
      <c r="AI47" s="30">
        <f t="shared" si="12"/>
        <v>0</v>
      </c>
      <c r="AJ47" s="42">
        <v>0</v>
      </c>
      <c r="AK47" s="41">
        <v>0</v>
      </c>
      <c r="AL47" s="30">
        <f t="shared" si="13"/>
        <v>0</v>
      </c>
      <c r="AM47" s="42">
        <v>0</v>
      </c>
      <c r="AN47" s="41">
        <v>0</v>
      </c>
      <c r="AO47" s="30">
        <f t="shared" si="14"/>
        <v>0</v>
      </c>
      <c r="AP47" s="42">
        <v>0</v>
      </c>
      <c r="AQ47" s="41">
        <v>0</v>
      </c>
      <c r="AR47" s="30">
        <f t="shared" si="16"/>
        <v>0</v>
      </c>
      <c r="AS47" s="29">
        <f t="shared" si="17"/>
        <v>0</v>
      </c>
      <c r="AT47" s="28" t="str">
        <f t="shared" si="19"/>
        <v>Tidak Ada</v>
      </c>
    </row>
    <row r="48" spans="1:46" x14ac:dyDescent="0.2">
      <c r="A48" s="14" t="s">
        <v>31</v>
      </c>
      <c r="B48" s="14" t="s">
        <v>90</v>
      </c>
      <c r="C48" s="42">
        <v>0</v>
      </c>
      <c r="D48" s="41">
        <v>0</v>
      </c>
      <c r="E48" s="30">
        <f t="shared" si="2"/>
        <v>0</v>
      </c>
      <c r="F48" s="42">
        <v>0</v>
      </c>
      <c r="G48" s="41">
        <v>0</v>
      </c>
      <c r="H48" s="30">
        <f t="shared" si="3"/>
        <v>0</v>
      </c>
      <c r="I48" s="42">
        <v>0</v>
      </c>
      <c r="J48" s="41">
        <v>0</v>
      </c>
      <c r="K48" s="30">
        <f t="shared" si="4"/>
        <v>0</v>
      </c>
      <c r="L48" s="42">
        <v>0</v>
      </c>
      <c r="M48" s="41">
        <v>0</v>
      </c>
      <c r="N48" s="30">
        <f t="shared" si="5"/>
        <v>0</v>
      </c>
      <c r="O48" s="42">
        <v>0</v>
      </c>
      <c r="P48" s="41">
        <v>0</v>
      </c>
      <c r="Q48" s="30">
        <f t="shared" si="6"/>
        <v>0</v>
      </c>
      <c r="R48" s="42">
        <v>0</v>
      </c>
      <c r="S48" s="41">
        <v>0</v>
      </c>
      <c r="T48" s="30">
        <f t="shared" si="7"/>
        <v>0</v>
      </c>
      <c r="U48" s="42">
        <v>0</v>
      </c>
      <c r="V48" s="41">
        <v>0</v>
      </c>
      <c r="W48" s="30">
        <f t="shared" si="8"/>
        <v>0</v>
      </c>
      <c r="X48" s="42">
        <v>0</v>
      </c>
      <c r="Y48" s="41">
        <v>0</v>
      </c>
      <c r="Z48" s="30">
        <f t="shared" si="9"/>
        <v>0</v>
      </c>
      <c r="AA48" s="42">
        <v>0</v>
      </c>
      <c r="AB48" s="41">
        <v>0</v>
      </c>
      <c r="AC48" s="30">
        <f t="shared" si="10"/>
        <v>0</v>
      </c>
      <c r="AD48" s="42">
        <v>0</v>
      </c>
      <c r="AE48" s="41">
        <v>0</v>
      </c>
      <c r="AF48" s="30">
        <f t="shared" si="11"/>
        <v>0</v>
      </c>
      <c r="AG48" s="42">
        <v>0</v>
      </c>
      <c r="AH48" s="41">
        <v>0</v>
      </c>
      <c r="AI48" s="30">
        <f t="shared" si="12"/>
        <v>0</v>
      </c>
      <c r="AJ48" s="42">
        <v>0</v>
      </c>
      <c r="AK48" s="41">
        <v>0</v>
      </c>
      <c r="AL48" s="30">
        <f t="shared" si="13"/>
        <v>0</v>
      </c>
      <c r="AM48" s="42">
        <v>0</v>
      </c>
      <c r="AN48" s="41">
        <v>0</v>
      </c>
      <c r="AO48" s="30">
        <f t="shared" si="14"/>
        <v>0</v>
      </c>
      <c r="AP48" s="42">
        <v>0</v>
      </c>
      <c r="AQ48" s="41">
        <v>0</v>
      </c>
      <c r="AR48" s="30">
        <f t="shared" si="16"/>
        <v>0</v>
      </c>
      <c r="AS48" s="29">
        <f t="shared" si="17"/>
        <v>0</v>
      </c>
      <c r="AT48" s="28" t="str">
        <f t="shared" si="19"/>
        <v>Tidak Ada</v>
      </c>
    </row>
    <row r="49" spans="1:46" x14ac:dyDescent="0.2">
      <c r="A49" s="14" t="s">
        <v>31</v>
      </c>
      <c r="B49" s="14" t="s">
        <v>91</v>
      </c>
      <c r="C49" s="42">
        <v>0</v>
      </c>
      <c r="D49" s="41">
        <v>0</v>
      </c>
      <c r="E49" s="30">
        <f t="shared" si="2"/>
        <v>0</v>
      </c>
      <c r="F49" s="42">
        <v>0</v>
      </c>
      <c r="G49" s="41">
        <v>0</v>
      </c>
      <c r="H49" s="30">
        <f t="shared" si="3"/>
        <v>0</v>
      </c>
      <c r="I49" s="42">
        <v>0</v>
      </c>
      <c r="J49" s="41">
        <v>0</v>
      </c>
      <c r="K49" s="30">
        <f t="shared" si="4"/>
        <v>0</v>
      </c>
      <c r="L49" s="42">
        <v>0</v>
      </c>
      <c r="M49" s="41">
        <v>0</v>
      </c>
      <c r="N49" s="30">
        <f t="shared" si="5"/>
        <v>0</v>
      </c>
      <c r="O49" s="42">
        <v>0</v>
      </c>
      <c r="P49" s="41">
        <v>0</v>
      </c>
      <c r="Q49" s="30">
        <f t="shared" si="6"/>
        <v>0</v>
      </c>
      <c r="R49" s="42">
        <v>0</v>
      </c>
      <c r="S49" s="41">
        <v>0</v>
      </c>
      <c r="T49" s="30">
        <f t="shared" si="7"/>
        <v>0</v>
      </c>
      <c r="U49" s="42">
        <v>0</v>
      </c>
      <c r="V49" s="41">
        <v>0</v>
      </c>
      <c r="W49" s="30">
        <f t="shared" si="8"/>
        <v>0</v>
      </c>
      <c r="X49" s="42">
        <v>0</v>
      </c>
      <c r="Y49" s="41">
        <v>0</v>
      </c>
      <c r="Z49" s="30">
        <f t="shared" si="9"/>
        <v>0</v>
      </c>
      <c r="AA49" s="42">
        <v>0</v>
      </c>
      <c r="AB49" s="41">
        <v>0</v>
      </c>
      <c r="AC49" s="30">
        <f t="shared" si="10"/>
        <v>0</v>
      </c>
      <c r="AD49" s="42">
        <v>0</v>
      </c>
      <c r="AE49" s="41">
        <v>0</v>
      </c>
      <c r="AF49" s="30">
        <f t="shared" si="11"/>
        <v>0</v>
      </c>
      <c r="AG49" s="42">
        <v>0</v>
      </c>
      <c r="AH49" s="41">
        <v>0</v>
      </c>
      <c r="AI49" s="30">
        <f t="shared" si="12"/>
        <v>0</v>
      </c>
      <c r="AJ49" s="42">
        <v>0</v>
      </c>
      <c r="AK49" s="41">
        <v>0</v>
      </c>
      <c r="AL49" s="30">
        <f t="shared" si="13"/>
        <v>0</v>
      </c>
      <c r="AM49" s="42">
        <v>0</v>
      </c>
      <c r="AN49" s="41">
        <v>0</v>
      </c>
      <c r="AO49" s="30">
        <f t="shared" si="14"/>
        <v>0</v>
      </c>
      <c r="AP49" s="42">
        <v>0</v>
      </c>
      <c r="AQ49" s="41">
        <v>0</v>
      </c>
      <c r="AR49" s="30">
        <f t="shared" si="16"/>
        <v>0</v>
      </c>
      <c r="AS49" s="29">
        <f t="shared" si="17"/>
        <v>0</v>
      </c>
      <c r="AT49" s="28" t="str">
        <f t="shared" si="19"/>
        <v>Tidak Ada</v>
      </c>
    </row>
    <row r="50" spans="1:46" x14ac:dyDescent="0.2">
      <c r="A50" s="14" t="s">
        <v>31</v>
      </c>
      <c r="B50" s="14" t="s">
        <v>92</v>
      </c>
      <c r="C50" s="42">
        <v>0</v>
      </c>
      <c r="D50" s="41">
        <v>0</v>
      </c>
      <c r="E50" s="30">
        <f t="shared" si="2"/>
        <v>0</v>
      </c>
      <c r="F50" s="42">
        <v>0</v>
      </c>
      <c r="G50" s="41">
        <v>0</v>
      </c>
      <c r="H50" s="30">
        <f t="shared" si="3"/>
        <v>0</v>
      </c>
      <c r="I50" s="42">
        <v>0</v>
      </c>
      <c r="J50" s="41">
        <v>0</v>
      </c>
      <c r="K50" s="30">
        <f t="shared" si="4"/>
        <v>0</v>
      </c>
      <c r="L50" s="42">
        <v>0</v>
      </c>
      <c r="M50" s="41">
        <v>0</v>
      </c>
      <c r="N50" s="30">
        <f t="shared" si="5"/>
        <v>0</v>
      </c>
      <c r="O50" s="42">
        <v>0</v>
      </c>
      <c r="P50" s="41">
        <v>0</v>
      </c>
      <c r="Q50" s="30">
        <f t="shared" si="6"/>
        <v>0</v>
      </c>
      <c r="R50" s="42">
        <v>0</v>
      </c>
      <c r="S50" s="41">
        <v>0</v>
      </c>
      <c r="T50" s="30">
        <f t="shared" si="7"/>
        <v>0</v>
      </c>
      <c r="U50" s="42">
        <v>0</v>
      </c>
      <c r="V50" s="41">
        <v>0</v>
      </c>
      <c r="W50" s="30">
        <f t="shared" si="8"/>
        <v>0</v>
      </c>
      <c r="X50" s="42">
        <v>0</v>
      </c>
      <c r="Y50" s="41">
        <v>0</v>
      </c>
      <c r="Z50" s="30">
        <f t="shared" si="9"/>
        <v>0</v>
      </c>
      <c r="AA50" s="42">
        <v>0</v>
      </c>
      <c r="AB50" s="41">
        <v>0</v>
      </c>
      <c r="AC50" s="30">
        <f t="shared" si="10"/>
        <v>0</v>
      </c>
      <c r="AD50" s="42">
        <v>0</v>
      </c>
      <c r="AE50" s="41">
        <v>0</v>
      </c>
      <c r="AF50" s="30">
        <f t="shared" si="11"/>
        <v>0</v>
      </c>
      <c r="AG50" s="42">
        <v>0</v>
      </c>
      <c r="AH50" s="41">
        <v>0</v>
      </c>
      <c r="AI50" s="30">
        <f t="shared" si="12"/>
        <v>0</v>
      </c>
      <c r="AJ50" s="42">
        <v>0</v>
      </c>
      <c r="AK50" s="41">
        <v>0</v>
      </c>
      <c r="AL50" s="30">
        <f t="shared" si="13"/>
        <v>0</v>
      </c>
      <c r="AM50" s="42">
        <v>0</v>
      </c>
      <c r="AN50" s="41">
        <v>0</v>
      </c>
      <c r="AO50" s="30">
        <f t="shared" si="14"/>
        <v>0</v>
      </c>
      <c r="AP50" s="42">
        <v>0</v>
      </c>
      <c r="AQ50" s="41">
        <v>0</v>
      </c>
      <c r="AR50" s="30">
        <f t="shared" si="16"/>
        <v>0</v>
      </c>
      <c r="AS50" s="29">
        <f t="shared" si="17"/>
        <v>0</v>
      </c>
      <c r="AT50" s="28" t="str">
        <f t="shared" si="19"/>
        <v>Tidak Ada</v>
      </c>
    </row>
    <row r="51" spans="1:46" x14ac:dyDescent="0.2">
      <c r="A51" s="14" t="s">
        <v>31</v>
      </c>
      <c r="B51" s="14" t="s">
        <v>93</v>
      </c>
      <c r="C51" s="42">
        <v>0</v>
      </c>
      <c r="D51" s="41">
        <v>0</v>
      </c>
      <c r="E51" s="30">
        <f t="shared" si="2"/>
        <v>0</v>
      </c>
      <c r="F51" s="42">
        <v>0</v>
      </c>
      <c r="G51" s="41">
        <v>0</v>
      </c>
      <c r="H51" s="30">
        <f t="shared" si="3"/>
        <v>0</v>
      </c>
      <c r="I51" s="42">
        <v>0</v>
      </c>
      <c r="J51" s="41">
        <v>0</v>
      </c>
      <c r="K51" s="30">
        <f t="shared" si="4"/>
        <v>0</v>
      </c>
      <c r="L51" s="42">
        <v>0</v>
      </c>
      <c r="M51" s="41">
        <v>0</v>
      </c>
      <c r="N51" s="30">
        <f t="shared" si="5"/>
        <v>0</v>
      </c>
      <c r="O51" s="42">
        <v>0</v>
      </c>
      <c r="P51" s="41">
        <v>0</v>
      </c>
      <c r="Q51" s="30">
        <f t="shared" si="6"/>
        <v>0</v>
      </c>
      <c r="R51" s="42">
        <v>0</v>
      </c>
      <c r="S51" s="41">
        <v>0</v>
      </c>
      <c r="T51" s="30">
        <f t="shared" si="7"/>
        <v>0</v>
      </c>
      <c r="U51" s="42">
        <v>0</v>
      </c>
      <c r="V51" s="41">
        <v>0</v>
      </c>
      <c r="W51" s="30">
        <f t="shared" si="8"/>
        <v>0</v>
      </c>
      <c r="X51" s="42">
        <v>0</v>
      </c>
      <c r="Y51" s="41">
        <v>0</v>
      </c>
      <c r="Z51" s="30">
        <f t="shared" si="9"/>
        <v>0</v>
      </c>
      <c r="AA51" s="42">
        <v>0</v>
      </c>
      <c r="AB51" s="41">
        <v>0</v>
      </c>
      <c r="AC51" s="30">
        <f t="shared" si="10"/>
        <v>0</v>
      </c>
      <c r="AD51" s="42">
        <v>0</v>
      </c>
      <c r="AE51" s="41">
        <v>0</v>
      </c>
      <c r="AF51" s="30">
        <f t="shared" si="11"/>
        <v>0</v>
      </c>
      <c r="AG51" s="42">
        <v>0</v>
      </c>
      <c r="AH51" s="41">
        <v>0</v>
      </c>
      <c r="AI51" s="30">
        <f t="shared" si="12"/>
        <v>0</v>
      </c>
      <c r="AJ51" s="42">
        <v>0</v>
      </c>
      <c r="AK51" s="41">
        <v>0</v>
      </c>
      <c r="AL51" s="30">
        <f t="shared" si="13"/>
        <v>0</v>
      </c>
      <c r="AM51" s="42">
        <v>0</v>
      </c>
      <c r="AN51" s="41">
        <v>0</v>
      </c>
      <c r="AO51" s="30">
        <f t="shared" si="14"/>
        <v>0</v>
      </c>
      <c r="AP51" s="42">
        <v>0</v>
      </c>
      <c r="AQ51" s="41">
        <v>0</v>
      </c>
      <c r="AR51" s="30">
        <f t="shared" si="16"/>
        <v>0</v>
      </c>
      <c r="AS51" s="29">
        <f t="shared" si="17"/>
        <v>0</v>
      </c>
      <c r="AT51" s="28" t="str">
        <f t="shared" si="19"/>
        <v>Tidak Ada</v>
      </c>
    </row>
    <row r="52" spans="1:46" x14ac:dyDescent="0.2">
      <c r="A52" s="14" t="s">
        <v>31</v>
      </c>
      <c r="B52" s="14" t="s">
        <v>94</v>
      </c>
      <c r="C52" s="42">
        <v>0</v>
      </c>
      <c r="D52" s="41">
        <v>0</v>
      </c>
      <c r="E52" s="30">
        <f t="shared" si="2"/>
        <v>0</v>
      </c>
      <c r="F52" s="42">
        <v>0</v>
      </c>
      <c r="G52" s="41">
        <v>0</v>
      </c>
      <c r="H52" s="30">
        <f t="shared" si="3"/>
        <v>0</v>
      </c>
      <c r="I52" s="42">
        <v>0</v>
      </c>
      <c r="J52" s="41">
        <v>0</v>
      </c>
      <c r="K52" s="30">
        <f t="shared" si="4"/>
        <v>0</v>
      </c>
      <c r="L52" s="42">
        <v>0</v>
      </c>
      <c r="M52" s="41">
        <v>0</v>
      </c>
      <c r="N52" s="30">
        <f t="shared" si="5"/>
        <v>0</v>
      </c>
      <c r="O52" s="42">
        <v>0</v>
      </c>
      <c r="P52" s="41">
        <v>0</v>
      </c>
      <c r="Q52" s="30">
        <f t="shared" si="6"/>
        <v>0</v>
      </c>
      <c r="R52" s="42">
        <v>0</v>
      </c>
      <c r="S52" s="41">
        <v>0</v>
      </c>
      <c r="T52" s="30">
        <f t="shared" si="7"/>
        <v>0</v>
      </c>
      <c r="U52" s="42">
        <v>0</v>
      </c>
      <c r="V52" s="41">
        <v>0</v>
      </c>
      <c r="W52" s="30">
        <f t="shared" si="8"/>
        <v>0</v>
      </c>
      <c r="X52" s="42">
        <v>0</v>
      </c>
      <c r="Y52" s="41">
        <v>0</v>
      </c>
      <c r="Z52" s="30">
        <f t="shared" si="9"/>
        <v>0</v>
      </c>
      <c r="AA52" s="42">
        <v>0</v>
      </c>
      <c r="AB52" s="41">
        <v>0</v>
      </c>
      <c r="AC52" s="30">
        <f t="shared" si="10"/>
        <v>0</v>
      </c>
      <c r="AD52" s="42">
        <v>0</v>
      </c>
      <c r="AE52" s="41">
        <v>0</v>
      </c>
      <c r="AF52" s="30">
        <f t="shared" si="11"/>
        <v>0</v>
      </c>
      <c r="AG52" s="42">
        <v>0</v>
      </c>
      <c r="AH52" s="41">
        <v>0</v>
      </c>
      <c r="AI52" s="30">
        <f t="shared" si="12"/>
        <v>0</v>
      </c>
      <c r="AJ52" s="42">
        <v>0</v>
      </c>
      <c r="AK52" s="41">
        <v>0</v>
      </c>
      <c r="AL52" s="30">
        <f t="shared" si="13"/>
        <v>0</v>
      </c>
      <c r="AM52" s="42">
        <v>0</v>
      </c>
      <c r="AN52" s="41">
        <v>0</v>
      </c>
      <c r="AO52" s="30">
        <f t="shared" si="14"/>
        <v>0</v>
      </c>
      <c r="AP52" s="42">
        <v>0</v>
      </c>
      <c r="AQ52" s="41">
        <v>0</v>
      </c>
      <c r="AR52" s="30">
        <f t="shared" si="16"/>
        <v>0</v>
      </c>
      <c r="AS52" s="29">
        <f t="shared" si="17"/>
        <v>0</v>
      </c>
      <c r="AT52" s="28" t="str">
        <f t="shared" si="19"/>
        <v>Tidak Ada</v>
      </c>
    </row>
    <row r="53" spans="1:46" x14ac:dyDescent="0.2">
      <c r="A53" s="14" t="s">
        <v>31</v>
      </c>
      <c r="B53" s="14" t="s">
        <v>95</v>
      </c>
      <c r="C53" s="42">
        <v>0</v>
      </c>
      <c r="D53" s="41">
        <v>0</v>
      </c>
      <c r="E53" s="30">
        <f t="shared" si="2"/>
        <v>0</v>
      </c>
      <c r="F53" s="42">
        <v>0</v>
      </c>
      <c r="G53" s="41">
        <v>0</v>
      </c>
      <c r="H53" s="30">
        <f t="shared" si="3"/>
        <v>0</v>
      </c>
      <c r="I53" s="42">
        <v>0</v>
      </c>
      <c r="J53" s="41">
        <v>0</v>
      </c>
      <c r="K53" s="30">
        <f t="shared" si="4"/>
        <v>0</v>
      </c>
      <c r="L53" s="42">
        <v>0</v>
      </c>
      <c r="M53" s="41">
        <v>0</v>
      </c>
      <c r="N53" s="30">
        <f t="shared" si="5"/>
        <v>0</v>
      </c>
      <c r="O53" s="42">
        <v>0</v>
      </c>
      <c r="P53" s="41">
        <v>0</v>
      </c>
      <c r="Q53" s="30">
        <f t="shared" si="6"/>
        <v>0</v>
      </c>
      <c r="R53" s="42">
        <v>0</v>
      </c>
      <c r="S53" s="41">
        <v>0</v>
      </c>
      <c r="T53" s="30">
        <f t="shared" si="7"/>
        <v>0</v>
      </c>
      <c r="U53" s="42">
        <v>0</v>
      </c>
      <c r="V53" s="41">
        <v>0</v>
      </c>
      <c r="W53" s="30">
        <f t="shared" si="8"/>
        <v>0</v>
      </c>
      <c r="X53" s="42">
        <v>0</v>
      </c>
      <c r="Y53" s="41">
        <v>0</v>
      </c>
      <c r="Z53" s="30">
        <f t="shared" si="9"/>
        <v>0</v>
      </c>
      <c r="AA53" s="42">
        <v>0</v>
      </c>
      <c r="AB53" s="41">
        <v>0</v>
      </c>
      <c r="AC53" s="30">
        <f t="shared" si="10"/>
        <v>0</v>
      </c>
      <c r="AD53" s="42">
        <v>0</v>
      </c>
      <c r="AE53" s="41">
        <v>0</v>
      </c>
      <c r="AF53" s="30">
        <f t="shared" si="11"/>
        <v>0</v>
      </c>
      <c r="AG53" s="42">
        <v>0</v>
      </c>
      <c r="AH53" s="41">
        <v>0</v>
      </c>
      <c r="AI53" s="30">
        <f t="shared" si="12"/>
        <v>0</v>
      </c>
      <c r="AJ53" s="42">
        <v>0</v>
      </c>
      <c r="AK53" s="41">
        <v>0</v>
      </c>
      <c r="AL53" s="30">
        <f t="shared" si="13"/>
        <v>0</v>
      </c>
      <c r="AM53" s="42">
        <v>0</v>
      </c>
      <c r="AN53" s="41">
        <v>0</v>
      </c>
      <c r="AO53" s="30">
        <f t="shared" si="14"/>
        <v>0</v>
      </c>
      <c r="AP53" s="42">
        <v>0</v>
      </c>
      <c r="AQ53" s="41">
        <v>0</v>
      </c>
      <c r="AR53" s="30">
        <f t="shared" si="16"/>
        <v>0</v>
      </c>
      <c r="AS53" s="29">
        <f t="shared" si="17"/>
        <v>0</v>
      </c>
      <c r="AT53" s="28" t="str">
        <f t="shared" si="19"/>
        <v>Tidak Ada</v>
      </c>
    </row>
    <row r="54" spans="1:46" x14ac:dyDescent="0.2">
      <c r="A54" s="14" t="s">
        <v>31</v>
      </c>
      <c r="B54" s="14" t="s">
        <v>96</v>
      </c>
      <c r="C54" s="42">
        <v>0</v>
      </c>
      <c r="D54" s="41">
        <v>0</v>
      </c>
      <c r="E54" s="30">
        <f t="shared" si="2"/>
        <v>0</v>
      </c>
      <c r="F54" s="42">
        <v>0</v>
      </c>
      <c r="G54" s="41">
        <v>0</v>
      </c>
      <c r="H54" s="30">
        <f t="shared" si="3"/>
        <v>0</v>
      </c>
      <c r="I54" s="42">
        <v>0</v>
      </c>
      <c r="J54" s="41">
        <v>0</v>
      </c>
      <c r="K54" s="30">
        <f t="shared" si="4"/>
        <v>0</v>
      </c>
      <c r="L54" s="42">
        <v>0</v>
      </c>
      <c r="M54" s="41">
        <v>0</v>
      </c>
      <c r="N54" s="30">
        <f t="shared" si="5"/>
        <v>0</v>
      </c>
      <c r="O54" s="42">
        <v>0</v>
      </c>
      <c r="P54" s="41">
        <v>0</v>
      </c>
      <c r="Q54" s="30">
        <f t="shared" si="6"/>
        <v>0</v>
      </c>
      <c r="R54" s="42">
        <v>0</v>
      </c>
      <c r="S54" s="41">
        <v>0</v>
      </c>
      <c r="T54" s="30">
        <f t="shared" si="7"/>
        <v>0</v>
      </c>
      <c r="U54" s="42">
        <v>0</v>
      </c>
      <c r="V54" s="41">
        <v>0</v>
      </c>
      <c r="W54" s="30">
        <f t="shared" si="8"/>
        <v>0</v>
      </c>
      <c r="X54" s="42">
        <v>0</v>
      </c>
      <c r="Y54" s="41">
        <v>0</v>
      </c>
      <c r="Z54" s="30">
        <f t="shared" si="9"/>
        <v>0</v>
      </c>
      <c r="AA54" s="42">
        <v>0</v>
      </c>
      <c r="AB54" s="41">
        <v>0</v>
      </c>
      <c r="AC54" s="30">
        <f t="shared" si="10"/>
        <v>0</v>
      </c>
      <c r="AD54" s="42">
        <v>0</v>
      </c>
      <c r="AE54" s="41">
        <v>0</v>
      </c>
      <c r="AF54" s="30">
        <f t="shared" si="11"/>
        <v>0</v>
      </c>
      <c r="AG54" s="42">
        <v>0</v>
      </c>
      <c r="AH54" s="41">
        <v>0</v>
      </c>
      <c r="AI54" s="30">
        <f t="shared" si="12"/>
        <v>0</v>
      </c>
      <c r="AJ54" s="42">
        <v>0</v>
      </c>
      <c r="AK54" s="41">
        <v>0</v>
      </c>
      <c r="AL54" s="30">
        <f t="shared" si="13"/>
        <v>0</v>
      </c>
      <c r="AM54" s="42">
        <v>0</v>
      </c>
      <c r="AN54" s="41">
        <v>0</v>
      </c>
      <c r="AO54" s="30">
        <f t="shared" si="14"/>
        <v>0</v>
      </c>
      <c r="AP54" s="42">
        <v>0</v>
      </c>
      <c r="AQ54" s="41">
        <v>0</v>
      </c>
      <c r="AR54" s="30">
        <f t="shared" si="16"/>
        <v>0</v>
      </c>
      <c r="AS54" s="29">
        <f t="shared" si="17"/>
        <v>0</v>
      </c>
      <c r="AT54" s="28" t="str">
        <f t="shared" si="19"/>
        <v>Tidak Ada</v>
      </c>
    </row>
    <row r="55" spans="1:46" x14ac:dyDescent="0.2">
      <c r="A55" s="14" t="s">
        <v>31</v>
      </c>
      <c r="B55" s="14" t="s">
        <v>97</v>
      </c>
      <c r="C55" s="42">
        <v>0</v>
      </c>
      <c r="D55" s="41">
        <v>0</v>
      </c>
      <c r="E55" s="30">
        <f t="shared" si="2"/>
        <v>0</v>
      </c>
      <c r="F55" s="42">
        <v>0</v>
      </c>
      <c r="G55" s="41">
        <v>0</v>
      </c>
      <c r="H55" s="30">
        <f t="shared" si="3"/>
        <v>0</v>
      </c>
      <c r="I55" s="42">
        <v>0</v>
      </c>
      <c r="J55" s="41">
        <v>0</v>
      </c>
      <c r="K55" s="30">
        <f t="shared" si="4"/>
        <v>0</v>
      </c>
      <c r="L55" s="42">
        <v>0</v>
      </c>
      <c r="M55" s="41">
        <v>0</v>
      </c>
      <c r="N55" s="30">
        <f t="shared" si="5"/>
        <v>0</v>
      </c>
      <c r="O55" s="42">
        <v>0</v>
      </c>
      <c r="P55" s="41">
        <v>0</v>
      </c>
      <c r="Q55" s="30">
        <f t="shared" si="6"/>
        <v>0</v>
      </c>
      <c r="R55" s="42">
        <v>0</v>
      </c>
      <c r="S55" s="41">
        <v>0</v>
      </c>
      <c r="T55" s="30">
        <f t="shared" si="7"/>
        <v>0</v>
      </c>
      <c r="U55" s="42">
        <v>0</v>
      </c>
      <c r="V55" s="41">
        <v>0</v>
      </c>
      <c r="W55" s="30">
        <f t="shared" si="8"/>
        <v>0</v>
      </c>
      <c r="X55" s="42">
        <v>0</v>
      </c>
      <c r="Y55" s="41">
        <v>0</v>
      </c>
      <c r="Z55" s="30">
        <f t="shared" si="9"/>
        <v>0</v>
      </c>
      <c r="AA55" s="42">
        <v>0</v>
      </c>
      <c r="AB55" s="41">
        <v>0</v>
      </c>
      <c r="AC55" s="30">
        <f t="shared" si="10"/>
        <v>0</v>
      </c>
      <c r="AD55" s="42">
        <v>0</v>
      </c>
      <c r="AE55" s="41">
        <v>0</v>
      </c>
      <c r="AF55" s="30">
        <f t="shared" si="11"/>
        <v>0</v>
      </c>
      <c r="AG55" s="42">
        <v>0</v>
      </c>
      <c r="AH55" s="41">
        <v>0</v>
      </c>
      <c r="AI55" s="30">
        <f t="shared" si="12"/>
        <v>0</v>
      </c>
      <c r="AJ55" s="42">
        <v>0</v>
      </c>
      <c r="AK55" s="41">
        <v>0</v>
      </c>
      <c r="AL55" s="30">
        <f t="shared" si="13"/>
        <v>0</v>
      </c>
      <c r="AM55" s="42">
        <v>0</v>
      </c>
      <c r="AN55" s="41">
        <v>0</v>
      </c>
      <c r="AO55" s="30">
        <f t="shared" si="14"/>
        <v>0</v>
      </c>
      <c r="AP55" s="42">
        <v>0</v>
      </c>
      <c r="AQ55" s="41">
        <v>0</v>
      </c>
      <c r="AR55" s="30">
        <f t="shared" si="16"/>
        <v>0</v>
      </c>
      <c r="AS55" s="29">
        <f t="shared" si="17"/>
        <v>0</v>
      </c>
      <c r="AT55" s="28" t="str">
        <f t="shared" si="19"/>
        <v>Tidak Ada</v>
      </c>
    </row>
    <row r="56" spans="1:46" x14ac:dyDescent="0.2">
      <c r="A56" s="14" t="s">
        <v>31</v>
      </c>
      <c r="B56" s="14" t="s">
        <v>98</v>
      </c>
      <c r="C56" s="42">
        <v>0</v>
      </c>
      <c r="D56" s="41">
        <v>0</v>
      </c>
      <c r="E56" s="30">
        <f t="shared" si="2"/>
        <v>0</v>
      </c>
      <c r="F56" s="42">
        <v>0</v>
      </c>
      <c r="G56" s="41">
        <v>0</v>
      </c>
      <c r="H56" s="30">
        <f t="shared" si="3"/>
        <v>0</v>
      </c>
      <c r="I56" s="42">
        <v>0</v>
      </c>
      <c r="J56" s="41">
        <v>0</v>
      </c>
      <c r="K56" s="30">
        <f t="shared" si="4"/>
        <v>0</v>
      </c>
      <c r="L56" s="42">
        <v>0</v>
      </c>
      <c r="M56" s="41">
        <v>0</v>
      </c>
      <c r="N56" s="30">
        <f t="shared" si="5"/>
        <v>0</v>
      </c>
      <c r="O56" s="42">
        <v>0</v>
      </c>
      <c r="P56" s="41">
        <v>0</v>
      </c>
      <c r="Q56" s="30">
        <f t="shared" si="6"/>
        <v>0</v>
      </c>
      <c r="R56" s="42">
        <v>0</v>
      </c>
      <c r="S56" s="41">
        <v>0</v>
      </c>
      <c r="T56" s="30">
        <f t="shared" si="7"/>
        <v>0</v>
      </c>
      <c r="U56" s="42">
        <v>0</v>
      </c>
      <c r="V56" s="41">
        <v>0</v>
      </c>
      <c r="W56" s="30">
        <f t="shared" si="8"/>
        <v>0</v>
      </c>
      <c r="X56" s="42">
        <v>0</v>
      </c>
      <c r="Y56" s="41">
        <v>0</v>
      </c>
      <c r="Z56" s="30">
        <f t="shared" si="9"/>
        <v>0</v>
      </c>
      <c r="AA56" s="42">
        <v>0</v>
      </c>
      <c r="AB56" s="41">
        <v>0</v>
      </c>
      <c r="AC56" s="30">
        <f t="shared" si="10"/>
        <v>0</v>
      </c>
      <c r="AD56" s="42">
        <v>0</v>
      </c>
      <c r="AE56" s="41">
        <v>0</v>
      </c>
      <c r="AF56" s="30">
        <f t="shared" si="11"/>
        <v>0</v>
      </c>
      <c r="AG56" s="42">
        <v>0</v>
      </c>
      <c r="AH56" s="41">
        <v>0</v>
      </c>
      <c r="AI56" s="30">
        <f t="shared" si="12"/>
        <v>0</v>
      </c>
      <c r="AJ56" s="42">
        <v>0</v>
      </c>
      <c r="AK56" s="41">
        <v>0</v>
      </c>
      <c r="AL56" s="30">
        <f t="shared" si="13"/>
        <v>0</v>
      </c>
      <c r="AM56" s="42">
        <v>0</v>
      </c>
      <c r="AN56" s="41">
        <v>0</v>
      </c>
      <c r="AO56" s="30">
        <f t="shared" si="14"/>
        <v>0</v>
      </c>
      <c r="AP56" s="42">
        <v>0</v>
      </c>
      <c r="AQ56" s="41">
        <v>0</v>
      </c>
      <c r="AR56" s="30">
        <f t="shared" si="16"/>
        <v>0</v>
      </c>
      <c r="AS56" s="29">
        <f t="shared" si="17"/>
        <v>0</v>
      </c>
      <c r="AT56" s="28" t="str">
        <f t="shared" si="19"/>
        <v>Tidak Ada</v>
      </c>
    </row>
    <row r="57" spans="1:46" x14ac:dyDescent="0.2">
      <c r="A57" s="14" t="s">
        <v>31</v>
      </c>
      <c r="B57" s="14" t="s">
        <v>99</v>
      </c>
      <c r="C57" s="42">
        <v>0</v>
      </c>
      <c r="D57" s="41">
        <v>0</v>
      </c>
      <c r="E57" s="30">
        <f t="shared" si="2"/>
        <v>0</v>
      </c>
      <c r="F57" s="42">
        <v>0</v>
      </c>
      <c r="G57" s="41">
        <v>0</v>
      </c>
      <c r="H57" s="30">
        <f t="shared" si="3"/>
        <v>0</v>
      </c>
      <c r="I57" s="42">
        <v>0</v>
      </c>
      <c r="J57" s="41">
        <v>0</v>
      </c>
      <c r="K57" s="30">
        <f t="shared" si="4"/>
        <v>0</v>
      </c>
      <c r="L57" s="42">
        <v>0</v>
      </c>
      <c r="M57" s="41">
        <v>0</v>
      </c>
      <c r="N57" s="30">
        <f t="shared" si="5"/>
        <v>0</v>
      </c>
      <c r="O57" s="42">
        <v>0</v>
      </c>
      <c r="P57" s="41">
        <v>0</v>
      </c>
      <c r="Q57" s="30">
        <f t="shared" si="6"/>
        <v>0</v>
      </c>
      <c r="R57" s="42">
        <v>0</v>
      </c>
      <c r="S57" s="41">
        <v>0</v>
      </c>
      <c r="T57" s="30">
        <f t="shared" si="7"/>
        <v>0</v>
      </c>
      <c r="U57" s="42">
        <v>0</v>
      </c>
      <c r="V57" s="41">
        <v>0</v>
      </c>
      <c r="W57" s="30">
        <f t="shared" si="8"/>
        <v>0</v>
      </c>
      <c r="X57" s="42">
        <v>0</v>
      </c>
      <c r="Y57" s="41">
        <v>0</v>
      </c>
      <c r="Z57" s="30">
        <f t="shared" si="9"/>
        <v>0</v>
      </c>
      <c r="AA57" s="42">
        <v>0</v>
      </c>
      <c r="AB57" s="41">
        <v>0</v>
      </c>
      <c r="AC57" s="30">
        <f t="shared" si="10"/>
        <v>0</v>
      </c>
      <c r="AD57" s="42">
        <v>0</v>
      </c>
      <c r="AE57" s="41">
        <v>0</v>
      </c>
      <c r="AF57" s="30">
        <f t="shared" si="11"/>
        <v>0</v>
      </c>
      <c r="AG57" s="42">
        <v>0</v>
      </c>
      <c r="AH57" s="41">
        <v>0</v>
      </c>
      <c r="AI57" s="30">
        <f t="shared" si="12"/>
        <v>0</v>
      </c>
      <c r="AJ57" s="42">
        <v>0</v>
      </c>
      <c r="AK57" s="41">
        <v>0</v>
      </c>
      <c r="AL57" s="30">
        <f t="shared" si="13"/>
        <v>0</v>
      </c>
      <c r="AM57" s="42">
        <v>0</v>
      </c>
      <c r="AN57" s="41">
        <v>0</v>
      </c>
      <c r="AO57" s="30">
        <f t="shared" si="14"/>
        <v>0</v>
      </c>
      <c r="AP57" s="42">
        <v>0</v>
      </c>
      <c r="AQ57" s="41">
        <v>0</v>
      </c>
      <c r="AR57" s="30">
        <f t="shared" si="16"/>
        <v>0</v>
      </c>
      <c r="AS57" s="29">
        <f t="shared" si="17"/>
        <v>0</v>
      </c>
      <c r="AT57" s="28" t="str">
        <f t="shared" si="19"/>
        <v>Tidak Ada</v>
      </c>
    </row>
    <row r="58" spans="1:46" x14ac:dyDescent="0.2">
      <c r="A58" s="14" t="s">
        <v>31</v>
      </c>
      <c r="B58" s="14" t="s">
        <v>100</v>
      </c>
      <c r="C58" s="42">
        <v>0</v>
      </c>
      <c r="D58" s="41">
        <v>0</v>
      </c>
      <c r="E58" s="30">
        <f t="shared" si="2"/>
        <v>0</v>
      </c>
      <c r="F58" s="42">
        <v>0</v>
      </c>
      <c r="G58" s="41">
        <v>0</v>
      </c>
      <c r="H58" s="30">
        <f t="shared" si="3"/>
        <v>0</v>
      </c>
      <c r="I58" s="42">
        <v>0</v>
      </c>
      <c r="J58" s="41">
        <v>0</v>
      </c>
      <c r="K58" s="30">
        <f t="shared" si="4"/>
        <v>0</v>
      </c>
      <c r="L58" s="42">
        <v>0</v>
      </c>
      <c r="M58" s="41">
        <v>0</v>
      </c>
      <c r="N58" s="30">
        <f t="shared" si="5"/>
        <v>0</v>
      </c>
      <c r="O58" s="42">
        <v>0</v>
      </c>
      <c r="P58" s="41">
        <v>0</v>
      </c>
      <c r="Q58" s="30">
        <f t="shared" si="6"/>
        <v>0</v>
      </c>
      <c r="R58" s="42">
        <v>0</v>
      </c>
      <c r="S58" s="41">
        <v>0</v>
      </c>
      <c r="T58" s="30">
        <f t="shared" si="7"/>
        <v>0</v>
      </c>
      <c r="U58" s="42">
        <v>0</v>
      </c>
      <c r="V58" s="41">
        <v>0</v>
      </c>
      <c r="W58" s="30">
        <f t="shared" si="8"/>
        <v>0</v>
      </c>
      <c r="X58" s="42">
        <v>0</v>
      </c>
      <c r="Y58" s="41">
        <v>0</v>
      </c>
      <c r="Z58" s="30">
        <f t="shared" si="9"/>
        <v>0</v>
      </c>
      <c r="AA58" s="42">
        <v>0</v>
      </c>
      <c r="AB58" s="41">
        <v>0</v>
      </c>
      <c r="AC58" s="30">
        <f t="shared" si="10"/>
        <v>0</v>
      </c>
      <c r="AD58" s="42">
        <v>0</v>
      </c>
      <c r="AE58" s="41">
        <v>0</v>
      </c>
      <c r="AF58" s="30">
        <f t="shared" si="11"/>
        <v>0</v>
      </c>
      <c r="AG58" s="42">
        <v>0</v>
      </c>
      <c r="AH58" s="41">
        <v>0</v>
      </c>
      <c r="AI58" s="30">
        <f t="shared" si="12"/>
        <v>0</v>
      </c>
      <c r="AJ58" s="42">
        <v>0</v>
      </c>
      <c r="AK58" s="41">
        <v>0</v>
      </c>
      <c r="AL58" s="30">
        <f t="shared" si="13"/>
        <v>0</v>
      </c>
      <c r="AM58" s="42">
        <v>0</v>
      </c>
      <c r="AN58" s="41">
        <v>0</v>
      </c>
      <c r="AO58" s="30">
        <f t="shared" si="14"/>
        <v>0</v>
      </c>
      <c r="AP58" s="42">
        <v>0</v>
      </c>
      <c r="AQ58" s="41">
        <v>0</v>
      </c>
      <c r="AR58" s="30">
        <f t="shared" si="16"/>
        <v>0</v>
      </c>
      <c r="AS58" s="29">
        <f t="shared" si="17"/>
        <v>0</v>
      </c>
      <c r="AT58" s="28" t="str">
        <f t="shared" si="19"/>
        <v>Tidak Ada</v>
      </c>
    </row>
    <row r="59" spans="1:46" x14ac:dyDescent="0.2">
      <c r="A59" s="14" t="s">
        <v>31</v>
      </c>
      <c r="B59" s="14" t="s">
        <v>101</v>
      </c>
      <c r="C59" s="42">
        <v>0</v>
      </c>
      <c r="D59" s="41">
        <v>0</v>
      </c>
      <c r="E59" s="30">
        <f t="shared" si="2"/>
        <v>0</v>
      </c>
      <c r="F59" s="42">
        <v>0</v>
      </c>
      <c r="G59" s="41">
        <v>0</v>
      </c>
      <c r="H59" s="30">
        <f t="shared" si="3"/>
        <v>0</v>
      </c>
      <c r="I59" s="42">
        <v>0</v>
      </c>
      <c r="J59" s="41">
        <v>0</v>
      </c>
      <c r="K59" s="30">
        <f t="shared" si="4"/>
        <v>0</v>
      </c>
      <c r="L59" s="42">
        <v>0</v>
      </c>
      <c r="M59" s="41">
        <v>0</v>
      </c>
      <c r="N59" s="30">
        <f t="shared" si="5"/>
        <v>0</v>
      </c>
      <c r="O59" s="42">
        <v>0</v>
      </c>
      <c r="P59" s="41">
        <v>0</v>
      </c>
      <c r="Q59" s="30">
        <f t="shared" si="6"/>
        <v>0</v>
      </c>
      <c r="R59" s="42">
        <v>0</v>
      </c>
      <c r="S59" s="41">
        <v>0</v>
      </c>
      <c r="T59" s="30">
        <f t="shared" si="7"/>
        <v>0</v>
      </c>
      <c r="U59" s="42">
        <v>0</v>
      </c>
      <c r="V59" s="41">
        <v>0</v>
      </c>
      <c r="W59" s="30">
        <f t="shared" si="8"/>
        <v>0</v>
      </c>
      <c r="X59" s="42">
        <v>0</v>
      </c>
      <c r="Y59" s="41">
        <v>0</v>
      </c>
      <c r="Z59" s="30">
        <f t="shared" si="9"/>
        <v>0</v>
      </c>
      <c r="AA59" s="42">
        <v>0</v>
      </c>
      <c r="AB59" s="41">
        <v>0</v>
      </c>
      <c r="AC59" s="30">
        <f t="shared" si="10"/>
        <v>0</v>
      </c>
      <c r="AD59" s="42">
        <v>0</v>
      </c>
      <c r="AE59" s="41">
        <v>0</v>
      </c>
      <c r="AF59" s="30">
        <f t="shared" si="11"/>
        <v>0</v>
      </c>
      <c r="AG59" s="42">
        <v>0</v>
      </c>
      <c r="AH59" s="41">
        <v>0</v>
      </c>
      <c r="AI59" s="30">
        <f t="shared" si="12"/>
        <v>0</v>
      </c>
      <c r="AJ59" s="42">
        <v>0</v>
      </c>
      <c r="AK59" s="41">
        <v>0</v>
      </c>
      <c r="AL59" s="30">
        <f t="shared" si="13"/>
        <v>0</v>
      </c>
      <c r="AM59" s="42">
        <v>0</v>
      </c>
      <c r="AN59" s="41">
        <v>0</v>
      </c>
      <c r="AO59" s="30">
        <f t="shared" si="14"/>
        <v>0</v>
      </c>
      <c r="AP59" s="42">
        <v>0</v>
      </c>
      <c r="AQ59" s="41">
        <v>0</v>
      </c>
      <c r="AR59" s="30">
        <f t="shared" si="16"/>
        <v>0</v>
      </c>
      <c r="AS59" s="29">
        <f t="shared" si="17"/>
        <v>0</v>
      </c>
      <c r="AT59" s="28" t="str">
        <f t="shared" si="19"/>
        <v>Tidak Ada</v>
      </c>
    </row>
    <row r="60" spans="1:46" x14ac:dyDescent="0.2">
      <c r="A60" s="14" t="s">
        <v>31</v>
      </c>
      <c r="B60" s="14" t="s">
        <v>102</v>
      </c>
      <c r="C60" s="42">
        <v>0</v>
      </c>
      <c r="D60" s="41">
        <v>0</v>
      </c>
      <c r="E60" s="30">
        <f t="shared" si="2"/>
        <v>0</v>
      </c>
      <c r="F60" s="42">
        <v>0</v>
      </c>
      <c r="G60" s="41">
        <v>0</v>
      </c>
      <c r="H60" s="30">
        <f t="shared" si="3"/>
        <v>0</v>
      </c>
      <c r="I60" s="42">
        <v>0</v>
      </c>
      <c r="J60" s="41">
        <v>0</v>
      </c>
      <c r="K60" s="30">
        <f t="shared" si="4"/>
        <v>0</v>
      </c>
      <c r="L60" s="42">
        <v>0</v>
      </c>
      <c r="M60" s="41">
        <v>0</v>
      </c>
      <c r="N60" s="30">
        <f t="shared" si="5"/>
        <v>0</v>
      </c>
      <c r="O60" s="42">
        <v>0</v>
      </c>
      <c r="P60" s="41">
        <v>0</v>
      </c>
      <c r="Q60" s="30">
        <f t="shared" si="6"/>
        <v>0</v>
      </c>
      <c r="R60" s="42">
        <v>0</v>
      </c>
      <c r="S60" s="41">
        <v>0</v>
      </c>
      <c r="T60" s="30">
        <f t="shared" si="7"/>
        <v>0</v>
      </c>
      <c r="U60" s="42">
        <v>0</v>
      </c>
      <c r="V60" s="41">
        <v>0</v>
      </c>
      <c r="W60" s="30">
        <f t="shared" si="8"/>
        <v>0</v>
      </c>
      <c r="X60" s="42">
        <v>0</v>
      </c>
      <c r="Y60" s="41">
        <v>0</v>
      </c>
      <c r="Z60" s="30">
        <f t="shared" si="9"/>
        <v>0</v>
      </c>
      <c r="AA60" s="42">
        <v>0</v>
      </c>
      <c r="AB60" s="41">
        <v>0</v>
      </c>
      <c r="AC60" s="30">
        <f t="shared" si="10"/>
        <v>0</v>
      </c>
      <c r="AD60" s="42">
        <v>0</v>
      </c>
      <c r="AE60" s="41">
        <v>0</v>
      </c>
      <c r="AF60" s="30">
        <f t="shared" si="11"/>
        <v>0</v>
      </c>
      <c r="AG60" s="42">
        <v>0</v>
      </c>
      <c r="AH60" s="41">
        <v>0</v>
      </c>
      <c r="AI60" s="30">
        <f t="shared" si="12"/>
        <v>0</v>
      </c>
      <c r="AJ60" s="42">
        <v>0</v>
      </c>
      <c r="AK60" s="41">
        <v>0</v>
      </c>
      <c r="AL60" s="30">
        <f t="shared" si="13"/>
        <v>0</v>
      </c>
      <c r="AM60" s="42">
        <v>0</v>
      </c>
      <c r="AN60" s="41">
        <v>0</v>
      </c>
      <c r="AO60" s="30">
        <f t="shared" si="14"/>
        <v>0</v>
      </c>
      <c r="AP60" s="42">
        <v>0</v>
      </c>
      <c r="AQ60" s="41">
        <v>0</v>
      </c>
      <c r="AR60" s="30">
        <f t="shared" si="16"/>
        <v>0</v>
      </c>
      <c r="AS60" s="29">
        <f t="shared" si="17"/>
        <v>0</v>
      </c>
      <c r="AT60" s="28" t="str">
        <f t="shared" si="19"/>
        <v>Tidak Ada</v>
      </c>
    </row>
    <row r="61" spans="1:46" x14ac:dyDescent="0.2">
      <c r="A61" s="14" t="s">
        <v>31</v>
      </c>
      <c r="B61" s="14" t="s">
        <v>103</v>
      </c>
      <c r="C61" s="42">
        <v>0</v>
      </c>
      <c r="D61" s="41">
        <v>0</v>
      </c>
      <c r="E61" s="30">
        <f t="shared" si="2"/>
        <v>0</v>
      </c>
      <c r="F61" s="42">
        <v>0</v>
      </c>
      <c r="G61" s="41">
        <v>0</v>
      </c>
      <c r="H61" s="30">
        <f t="shared" si="3"/>
        <v>0</v>
      </c>
      <c r="I61" s="42">
        <v>0</v>
      </c>
      <c r="J61" s="41">
        <v>0</v>
      </c>
      <c r="K61" s="30">
        <f t="shared" si="4"/>
        <v>0</v>
      </c>
      <c r="L61" s="42">
        <v>0</v>
      </c>
      <c r="M61" s="41">
        <v>0</v>
      </c>
      <c r="N61" s="30">
        <f t="shared" si="5"/>
        <v>0</v>
      </c>
      <c r="O61" s="42">
        <v>0</v>
      </c>
      <c r="P61" s="41">
        <v>0</v>
      </c>
      <c r="Q61" s="30">
        <f t="shared" si="6"/>
        <v>0</v>
      </c>
      <c r="R61" s="42">
        <v>0</v>
      </c>
      <c r="S61" s="41">
        <v>0</v>
      </c>
      <c r="T61" s="30">
        <f t="shared" si="7"/>
        <v>0</v>
      </c>
      <c r="U61" s="42">
        <v>0</v>
      </c>
      <c r="V61" s="41">
        <v>0</v>
      </c>
      <c r="W61" s="30">
        <f t="shared" si="8"/>
        <v>0</v>
      </c>
      <c r="X61" s="42">
        <v>0</v>
      </c>
      <c r="Y61" s="41">
        <v>0</v>
      </c>
      <c r="Z61" s="30">
        <f t="shared" si="9"/>
        <v>0</v>
      </c>
      <c r="AA61" s="42">
        <v>0</v>
      </c>
      <c r="AB61" s="41">
        <v>0</v>
      </c>
      <c r="AC61" s="30">
        <f t="shared" si="10"/>
        <v>0</v>
      </c>
      <c r="AD61" s="42">
        <v>0</v>
      </c>
      <c r="AE61" s="41">
        <v>0</v>
      </c>
      <c r="AF61" s="30">
        <f t="shared" si="11"/>
        <v>0</v>
      </c>
      <c r="AG61" s="42">
        <v>0</v>
      </c>
      <c r="AH61" s="41">
        <v>0</v>
      </c>
      <c r="AI61" s="30">
        <f t="shared" si="12"/>
        <v>0</v>
      </c>
      <c r="AJ61" s="42">
        <v>0</v>
      </c>
      <c r="AK61" s="41">
        <v>0</v>
      </c>
      <c r="AL61" s="30">
        <f t="shared" si="13"/>
        <v>0</v>
      </c>
      <c r="AM61" s="42">
        <v>0</v>
      </c>
      <c r="AN61" s="41">
        <v>0</v>
      </c>
      <c r="AO61" s="30">
        <f t="shared" si="14"/>
        <v>0</v>
      </c>
      <c r="AP61" s="42">
        <v>0</v>
      </c>
      <c r="AQ61" s="41">
        <v>0</v>
      </c>
      <c r="AR61" s="30">
        <f t="shared" si="16"/>
        <v>0</v>
      </c>
      <c r="AS61" s="29">
        <f t="shared" si="17"/>
        <v>0</v>
      </c>
      <c r="AT61" s="28" t="str">
        <f t="shared" si="19"/>
        <v>Tidak Ada</v>
      </c>
    </row>
    <row r="62" spans="1:46" x14ac:dyDescent="0.2">
      <c r="A62" s="14" t="s">
        <v>31</v>
      </c>
      <c r="B62" s="14" t="s">
        <v>104</v>
      </c>
      <c r="C62" s="42">
        <v>0</v>
      </c>
      <c r="D62" s="41">
        <v>0</v>
      </c>
      <c r="E62" s="30">
        <f t="shared" si="2"/>
        <v>0</v>
      </c>
      <c r="F62" s="42">
        <v>0</v>
      </c>
      <c r="G62" s="41">
        <v>0</v>
      </c>
      <c r="H62" s="30">
        <f t="shared" si="3"/>
        <v>0</v>
      </c>
      <c r="I62" s="42">
        <v>0</v>
      </c>
      <c r="J62" s="41">
        <v>0</v>
      </c>
      <c r="K62" s="30">
        <f t="shared" si="4"/>
        <v>0</v>
      </c>
      <c r="L62" s="42">
        <v>0</v>
      </c>
      <c r="M62" s="41">
        <v>0</v>
      </c>
      <c r="N62" s="30">
        <f t="shared" si="5"/>
        <v>0</v>
      </c>
      <c r="O62" s="42">
        <v>0</v>
      </c>
      <c r="P62" s="41">
        <v>0</v>
      </c>
      <c r="Q62" s="30">
        <f t="shared" si="6"/>
        <v>0</v>
      </c>
      <c r="R62" s="42">
        <v>0</v>
      </c>
      <c r="S62" s="41">
        <v>0</v>
      </c>
      <c r="T62" s="30">
        <f t="shared" si="7"/>
        <v>0</v>
      </c>
      <c r="U62" s="42">
        <v>0</v>
      </c>
      <c r="V62" s="41">
        <v>0</v>
      </c>
      <c r="W62" s="30">
        <f t="shared" si="8"/>
        <v>0</v>
      </c>
      <c r="X62" s="42">
        <v>0</v>
      </c>
      <c r="Y62" s="41">
        <v>0</v>
      </c>
      <c r="Z62" s="30">
        <f t="shared" si="9"/>
        <v>0</v>
      </c>
      <c r="AA62" s="42">
        <v>0</v>
      </c>
      <c r="AB62" s="41">
        <v>0</v>
      </c>
      <c r="AC62" s="30">
        <f t="shared" si="10"/>
        <v>0</v>
      </c>
      <c r="AD62" s="42">
        <v>0</v>
      </c>
      <c r="AE62" s="41">
        <v>0</v>
      </c>
      <c r="AF62" s="30">
        <f t="shared" si="11"/>
        <v>0</v>
      </c>
      <c r="AG62" s="42">
        <v>0</v>
      </c>
      <c r="AH62" s="41">
        <v>0</v>
      </c>
      <c r="AI62" s="30">
        <f t="shared" si="12"/>
        <v>0</v>
      </c>
      <c r="AJ62" s="42">
        <v>0</v>
      </c>
      <c r="AK62" s="41">
        <v>0</v>
      </c>
      <c r="AL62" s="30">
        <f t="shared" si="13"/>
        <v>0</v>
      </c>
      <c r="AM62" s="42">
        <v>0</v>
      </c>
      <c r="AN62" s="41">
        <v>0</v>
      </c>
      <c r="AO62" s="30">
        <f t="shared" si="14"/>
        <v>0</v>
      </c>
      <c r="AP62" s="42">
        <v>0</v>
      </c>
      <c r="AQ62" s="41">
        <v>0</v>
      </c>
      <c r="AR62" s="30">
        <f t="shared" si="16"/>
        <v>0</v>
      </c>
      <c r="AS62" s="29">
        <f t="shared" si="17"/>
        <v>0</v>
      </c>
      <c r="AT62" s="28" t="str">
        <f t="shared" si="19"/>
        <v>Tidak Ada</v>
      </c>
    </row>
    <row r="63" spans="1:46" x14ac:dyDescent="0.2">
      <c r="A63" s="14" t="s">
        <v>31</v>
      </c>
      <c r="B63" s="14" t="s">
        <v>105</v>
      </c>
      <c r="C63" s="42">
        <v>0</v>
      </c>
      <c r="D63" s="41">
        <v>0</v>
      </c>
      <c r="E63" s="30">
        <f t="shared" si="2"/>
        <v>0</v>
      </c>
      <c r="F63" s="42">
        <v>0</v>
      </c>
      <c r="G63" s="41">
        <v>0</v>
      </c>
      <c r="H63" s="30">
        <f t="shared" si="3"/>
        <v>0</v>
      </c>
      <c r="I63" s="42">
        <v>0</v>
      </c>
      <c r="J63" s="41">
        <v>0</v>
      </c>
      <c r="K63" s="30">
        <f t="shared" si="4"/>
        <v>0</v>
      </c>
      <c r="L63" s="42">
        <v>0</v>
      </c>
      <c r="M63" s="41">
        <v>0</v>
      </c>
      <c r="N63" s="30">
        <f t="shared" si="5"/>
        <v>0</v>
      </c>
      <c r="O63" s="42">
        <v>0</v>
      </c>
      <c r="P63" s="41">
        <v>0</v>
      </c>
      <c r="Q63" s="30">
        <f t="shared" si="6"/>
        <v>0</v>
      </c>
      <c r="R63" s="42">
        <v>0</v>
      </c>
      <c r="S63" s="41">
        <v>0</v>
      </c>
      <c r="T63" s="30">
        <f t="shared" si="7"/>
        <v>0</v>
      </c>
      <c r="U63" s="42">
        <v>0</v>
      </c>
      <c r="V63" s="41">
        <v>0</v>
      </c>
      <c r="W63" s="30">
        <f t="shared" si="8"/>
        <v>0</v>
      </c>
      <c r="X63" s="42">
        <v>0</v>
      </c>
      <c r="Y63" s="41">
        <v>0</v>
      </c>
      <c r="Z63" s="30">
        <f t="shared" si="9"/>
        <v>0</v>
      </c>
      <c r="AA63" s="42">
        <v>0</v>
      </c>
      <c r="AB63" s="41">
        <v>0</v>
      </c>
      <c r="AC63" s="30">
        <f t="shared" si="10"/>
        <v>0</v>
      </c>
      <c r="AD63" s="42">
        <v>0</v>
      </c>
      <c r="AE63" s="41">
        <v>0</v>
      </c>
      <c r="AF63" s="30">
        <f t="shared" si="11"/>
        <v>0</v>
      </c>
      <c r="AG63" s="42">
        <v>0</v>
      </c>
      <c r="AH63" s="41">
        <v>0</v>
      </c>
      <c r="AI63" s="30">
        <f t="shared" si="12"/>
        <v>0</v>
      </c>
      <c r="AJ63" s="42">
        <v>0</v>
      </c>
      <c r="AK63" s="41">
        <v>0</v>
      </c>
      <c r="AL63" s="30">
        <f t="shared" si="13"/>
        <v>0</v>
      </c>
      <c r="AM63" s="42">
        <v>0</v>
      </c>
      <c r="AN63" s="41">
        <v>0</v>
      </c>
      <c r="AO63" s="30">
        <f t="shared" si="14"/>
        <v>0</v>
      </c>
      <c r="AP63" s="42">
        <v>0</v>
      </c>
      <c r="AQ63" s="41">
        <v>0</v>
      </c>
      <c r="AR63" s="30">
        <f t="shared" si="16"/>
        <v>0</v>
      </c>
      <c r="AS63" s="29">
        <f t="shared" si="17"/>
        <v>0</v>
      </c>
      <c r="AT63" s="28" t="str">
        <f t="shared" si="19"/>
        <v>Tidak Ada</v>
      </c>
    </row>
    <row r="64" spans="1:46" x14ac:dyDescent="0.2">
      <c r="A64" s="14" t="s">
        <v>31</v>
      </c>
      <c r="B64" s="14" t="s">
        <v>106</v>
      </c>
      <c r="C64" s="42">
        <v>0</v>
      </c>
      <c r="D64" s="41">
        <v>0</v>
      </c>
      <c r="E64" s="30">
        <f t="shared" si="2"/>
        <v>0</v>
      </c>
      <c r="F64" s="42">
        <v>0</v>
      </c>
      <c r="G64" s="41">
        <v>0</v>
      </c>
      <c r="H64" s="30">
        <f t="shared" si="3"/>
        <v>0</v>
      </c>
      <c r="I64" s="42">
        <v>0</v>
      </c>
      <c r="J64" s="41">
        <v>0</v>
      </c>
      <c r="K64" s="30">
        <f t="shared" si="4"/>
        <v>0</v>
      </c>
      <c r="L64" s="42">
        <v>0</v>
      </c>
      <c r="M64" s="41">
        <v>0</v>
      </c>
      <c r="N64" s="30">
        <f t="shared" si="5"/>
        <v>0</v>
      </c>
      <c r="O64" s="42">
        <v>0</v>
      </c>
      <c r="P64" s="41">
        <v>0</v>
      </c>
      <c r="Q64" s="30">
        <f t="shared" si="6"/>
        <v>0</v>
      </c>
      <c r="R64" s="42">
        <v>0</v>
      </c>
      <c r="S64" s="41">
        <v>0</v>
      </c>
      <c r="T64" s="30">
        <f t="shared" si="7"/>
        <v>0</v>
      </c>
      <c r="U64" s="42">
        <v>0</v>
      </c>
      <c r="V64" s="41">
        <v>0</v>
      </c>
      <c r="W64" s="30">
        <f t="shared" si="8"/>
        <v>0</v>
      </c>
      <c r="X64" s="42">
        <v>0</v>
      </c>
      <c r="Y64" s="41">
        <v>0</v>
      </c>
      <c r="Z64" s="30">
        <f t="shared" si="9"/>
        <v>0</v>
      </c>
      <c r="AA64" s="42">
        <v>0</v>
      </c>
      <c r="AB64" s="41">
        <v>0</v>
      </c>
      <c r="AC64" s="30">
        <f t="shared" si="10"/>
        <v>0</v>
      </c>
      <c r="AD64" s="42">
        <v>0</v>
      </c>
      <c r="AE64" s="41">
        <v>0</v>
      </c>
      <c r="AF64" s="30">
        <f t="shared" si="11"/>
        <v>0</v>
      </c>
      <c r="AG64" s="42">
        <v>0</v>
      </c>
      <c r="AH64" s="41">
        <v>0</v>
      </c>
      <c r="AI64" s="30">
        <f t="shared" si="12"/>
        <v>0</v>
      </c>
      <c r="AJ64" s="42">
        <v>0</v>
      </c>
      <c r="AK64" s="41">
        <v>0</v>
      </c>
      <c r="AL64" s="30">
        <f t="shared" si="13"/>
        <v>0</v>
      </c>
      <c r="AM64" s="42">
        <v>0</v>
      </c>
      <c r="AN64" s="41">
        <v>0</v>
      </c>
      <c r="AO64" s="30">
        <f t="shared" si="14"/>
        <v>0</v>
      </c>
      <c r="AP64" s="42">
        <v>0</v>
      </c>
      <c r="AQ64" s="41">
        <v>0</v>
      </c>
      <c r="AR64" s="30">
        <f t="shared" si="16"/>
        <v>0</v>
      </c>
      <c r="AS64" s="29">
        <f t="shared" si="17"/>
        <v>0</v>
      </c>
      <c r="AT64" s="28" t="str">
        <f t="shared" si="19"/>
        <v>Tidak Ada</v>
      </c>
    </row>
    <row r="65" spans="1:46" x14ac:dyDescent="0.2">
      <c r="A65" s="14" t="s">
        <v>31</v>
      </c>
      <c r="B65" s="14" t="s">
        <v>107</v>
      </c>
      <c r="C65" s="42">
        <v>0</v>
      </c>
      <c r="D65" s="41">
        <v>0</v>
      </c>
      <c r="E65" s="30">
        <f t="shared" si="2"/>
        <v>0</v>
      </c>
      <c r="F65" s="42">
        <v>0</v>
      </c>
      <c r="G65" s="41">
        <v>0</v>
      </c>
      <c r="H65" s="30">
        <f t="shared" si="3"/>
        <v>0</v>
      </c>
      <c r="I65" s="42">
        <v>0</v>
      </c>
      <c r="J65" s="41">
        <v>0</v>
      </c>
      <c r="K65" s="30">
        <f t="shared" si="4"/>
        <v>0</v>
      </c>
      <c r="L65" s="42">
        <v>0</v>
      </c>
      <c r="M65" s="41">
        <v>0</v>
      </c>
      <c r="N65" s="30">
        <f t="shared" si="5"/>
        <v>0</v>
      </c>
      <c r="O65" s="42">
        <v>0</v>
      </c>
      <c r="P65" s="41">
        <v>0</v>
      </c>
      <c r="Q65" s="30">
        <f t="shared" si="6"/>
        <v>0</v>
      </c>
      <c r="R65" s="42">
        <v>0</v>
      </c>
      <c r="S65" s="41">
        <v>0</v>
      </c>
      <c r="T65" s="30">
        <f t="shared" si="7"/>
        <v>0</v>
      </c>
      <c r="U65" s="42">
        <v>0</v>
      </c>
      <c r="V65" s="41">
        <v>0</v>
      </c>
      <c r="W65" s="30">
        <f t="shared" si="8"/>
        <v>0</v>
      </c>
      <c r="X65" s="42">
        <v>0</v>
      </c>
      <c r="Y65" s="41">
        <v>0</v>
      </c>
      <c r="Z65" s="30">
        <f t="shared" si="9"/>
        <v>0</v>
      </c>
      <c r="AA65" s="42">
        <v>0</v>
      </c>
      <c r="AB65" s="41">
        <v>0</v>
      </c>
      <c r="AC65" s="30">
        <f t="shared" si="10"/>
        <v>0</v>
      </c>
      <c r="AD65" s="42">
        <v>0</v>
      </c>
      <c r="AE65" s="41">
        <v>0</v>
      </c>
      <c r="AF65" s="30">
        <f t="shared" si="11"/>
        <v>0</v>
      </c>
      <c r="AG65" s="42">
        <v>0</v>
      </c>
      <c r="AH65" s="41">
        <v>0</v>
      </c>
      <c r="AI65" s="30">
        <f t="shared" si="12"/>
        <v>0</v>
      </c>
      <c r="AJ65" s="42">
        <v>0</v>
      </c>
      <c r="AK65" s="41">
        <v>0</v>
      </c>
      <c r="AL65" s="30">
        <f t="shared" si="13"/>
        <v>0</v>
      </c>
      <c r="AM65" s="42">
        <v>0</v>
      </c>
      <c r="AN65" s="41">
        <v>0</v>
      </c>
      <c r="AO65" s="30">
        <f t="shared" si="14"/>
        <v>0</v>
      </c>
      <c r="AP65" s="42">
        <v>0</v>
      </c>
      <c r="AQ65" s="41">
        <v>0</v>
      </c>
      <c r="AR65" s="30">
        <f t="shared" si="16"/>
        <v>0</v>
      </c>
      <c r="AS65" s="29">
        <f t="shared" si="17"/>
        <v>0</v>
      </c>
      <c r="AT65" s="28" t="str">
        <f t="shared" si="19"/>
        <v>Tidak Ada</v>
      </c>
    </row>
    <row r="66" spans="1:46" x14ac:dyDescent="0.2">
      <c r="A66" s="14" t="s">
        <v>31</v>
      </c>
      <c r="B66" s="14" t="s">
        <v>108</v>
      </c>
      <c r="C66" s="42">
        <v>0</v>
      </c>
      <c r="D66" s="41">
        <v>0</v>
      </c>
      <c r="E66" s="30">
        <f t="shared" si="2"/>
        <v>0</v>
      </c>
      <c r="F66" s="42">
        <v>0</v>
      </c>
      <c r="G66" s="41">
        <v>0</v>
      </c>
      <c r="H66" s="30">
        <f t="shared" si="3"/>
        <v>0</v>
      </c>
      <c r="I66" s="42">
        <v>0</v>
      </c>
      <c r="J66" s="41">
        <v>0</v>
      </c>
      <c r="K66" s="30">
        <f t="shared" si="4"/>
        <v>0</v>
      </c>
      <c r="L66" s="42">
        <v>0</v>
      </c>
      <c r="M66" s="41">
        <v>0</v>
      </c>
      <c r="N66" s="30">
        <f t="shared" si="5"/>
        <v>0</v>
      </c>
      <c r="O66" s="42">
        <v>0</v>
      </c>
      <c r="P66" s="41">
        <v>0</v>
      </c>
      <c r="Q66" s="30">
        <f t="shared" si="6"/>
        <v>0</v>
      </c>
      <c r="R66" s="42">
        <v>0</v>
      </c>
      <c r="S66" s="41">
        <v>0</v>
      </c>
      <c r="T66" s="30">
        <f t="shared" si="7"/>
        <v>0</v>
      </c>
      <c r="U66" s="42">
        <v>0</v>
      </c>
      <c r="V66" s="41">
        <v>0</v>
      </c>
      <c r="W66" s="30">
        <f t="shared" si="8"/>
        <v>0</v>
      </c>
      <c r="X66" s="42">
        <v>0</v>
      </c>
      <c r="Y66" s="41">
        <v>0</v>
      </c>
      <c r="Z66" s="30">
        <f t="shared" si="9"/>
        <v>0</v>
      </c>
      <c r="AA66" s="42">
        <v>0</v>
      </c>
      <c r="AB66" s="41">
        <v>0</v>
      </c>
      <c r="AC66" s="30">
        <f t="shared" si="10"/>
        <v>0</v>
      </c>
      <c r="AD66" s="42">
        <v>0</v>
      </c>
      <c r="AE66" s="41">
        <v>0</v>
      </c>
      <c r="AF66" s="30">
        <f t="shared" si="11"/>
        <v>0</v>
      </c>
      <c r="AG66" s="42">
        <v>0</v>
      </c>
      <c r="AH66" s="41">
        <v>0</v>
      </c>
      <c r="AI66" s="30">
        <f t="shared" si="12"/>
        <v>0</v>
      </c>
      <c r="AJ66" s="42">
        <v>0</v>
      </c>
      <c r="AK66" s="41">
        <v>0</v>
      </c>
      <c r="AL66" s="30">
        <f t="shared" si="13"/>
        <v>0</v>
      </c>
      <c r="AM66" s="42">
        <v>0</v>
      </c>
      <c r="AN66" s="41">
        <v>0</v>
      </c>
      <c r="AO66" s="30">
        <f t="shared" si="14"/>
        <v>0</v>
      </c>
      <c r="AP66" s="42">
        <v>0</v>
      </c>
      <c r="AQ66" s="41">
        <v>0</v>
      </c>
      <c r="AR66" s="30">
        <f t="shared" si="16"/>
        <v>0</v>
      </c>
      <c r="AS66" s="29">
        <f t="shared" si="17"/>
        <v>0</v>
      </c>
      <c r="AT66" s="28" t="str">
        <f t="shared" si="19"/>
        <v>Tidak Ada</v>
      </c>
    </row>
    <row r="67" spans="1:46" x14ac:dyDescent="0.2">
      <c r="A67" s="14" t="s">
        <v>31</v>
      </c>
      <c r="B67" s="14" t="s">
        <v>109</v>
      </c>
      <c r="C67" s="42">
        <v>0</v>
      </c>
      <c r="D67" s="41">
        <v>0</v>
      </c>
      <c r="E67" s="30">
        <f t="shared" si="2"/>
        <v>0</v>
      </c>
      <c r="F67" s="42">
        <v>0</v>
      </c>
      <c r="G67" s="41">
        <v>0</v>
      </c>
      <c r="H67" s="30">
        <f t="shared" si="3"/>
        <v>0</v>
      </c>
      <c r="I67" s="42">
        <v>0</v>
      </c>
      <c r="J67" s="41">
        <v>0</v>
      </c>
      <c r="K67" s="30">
        <f t="shared" si="4"/>
        <v>0</v>
      </c>
      <c r="L67" s="42">
        <v>0</v>
      </c>
      <c r="M67" s="41">
        <v>0</v>
      </c>
      <c r="N67" s="30">
        <f t="shared" si="5"/>
        <v>0</v>
      </c>
      <c r="O67" s="42">
        <v>0</v>
      </c>
      <c r="P67" s="41">
        <v>0</v>
      </c>
      <c r="Q67" s="30">
        <f t="shared" si="6"/>
        <v>0</v>
      </c>
      <c r="R67" s="42">
        <v>0</v>
      </c>
      <c r="S67" s="41">
        <v>0</v>
      </c>
      <c r="T67" s="30">
        <f t="shared" si="7"/>
        <v>0</v>
      </c>
      <c r="U67" s="42">
        <v>0</v>
      </c>
      <c r="V67" s="41">
        <v>0</v>
      </c>
      <c r="W67" s="30">
        <f t="shared" si="8"/>
        <v>0</v>
      </c>
      <c r="X67" s="42">
        <v>0</v>
      </c>
      <c r="Y67" s="41">
        <v>0</v>
      </c>
      <c r="Z67" s="30">
        <f t="shared" si="9"/>
        <v>0</v>
      </c>
      <c r="AA67" s="42">
        <v>0</v>
      </c>
      <c r="AB67" s="41">
        <v>0</v>
      </c>
      <c r="AC67" s="30">
        <f t="shared" si="10"/>
        <v>0</v>
      </c>
      <c r="AD67" s="42">
        <v>0</v>
      </c>
      <c r="AE67" s="41">
        <v>0</v>
      </c>
      <c r="AF67" s="30">
        <f t="shared" si="11"/>
        <v>0</v>
      </c>
      <c r="AG67" s="42">
        <v>0</v>
      </c>
      <c r="AH67" s="41">
        <v>0</v>
      </c>
      <c r="AI67" s="30">
        <f t="shared" si="12"/>
        <v>0</v>
      </c>
      <c r="AJ67" s="42">
        <v>0</v>
      </c>
      <c r="AK67" s="41">
        <v>0</v>
      </c>
      <c r="AL67" s="30">
        <f t="shared" si="13"/>
        <v>0</v>
      </c>
      <c r="AM67" s="42">
        <v>0</v>
      </c>
      <c r="AN67" s="41">
        <v>0</v>
      </c>
      <c r="AO67" s="30">
        <f t="shared" si="14"/>
        <v>0</v>
      </c>
      <c r="AP67" s="42">
        <v>0</v>
      </c>
      <c r="AQ67" s="41">
        <v>0</v>
      </c>
      <c r="AR67" s="30">
        <f t="shared" si="16"/>
        <v>0</v>
      </c>
      <c r="AS67" s="29">
        <f t="shared" si="17"/>
        <v>0</v>
      </c>
      <c r="AT67" s="28" t="str">
        <f t="shared" ref="AT67:AT77" si="20">IF(AS67&gt;0,"Ada","Tidak Ada")</f>
        <v>Tidak Ada</v>
      </c>
    </row>
    <row r="68" spans="1:46" x14ac:dyDescent="0.2">
      <c r="A68" s="14" t="s">
        <v>31</v>
      </c>
      <c r="B68" s="14" t="s">
        <v>110</v>
      </c>
      <c r="C68" s="42">
        <v>0</v>
      </c>
      <c r="D68" s="41">
        <v>0</v>
      </c>
      <c r="E68" s="30">
        <f t="shared" si="2"/>
        <v>0</v>
      </c>
      <c r="F68" s="42">
        <v>0</v>
      </c>
      <c r="G68" s="41">
        <v>0</v>
      </c>
      <c r="H68" s="30">
        <f t="shared" si="3"/>
        <v>0</v>
      </c>
      <c r="I68" s="42">
        <v>0</v>
      </c>
      <c r="J68" s="41">
        <v>0</v>
      </c>
      <c r="K68" s="30">
        <f t="shared" si="4"/>
        <v>0</v>
      </c>
      <c r="L68" s="42">
        <v>0</v>
      </c>
      <c r="M68" s="41">
        <v>0</v>
      </c>
      <c r="N68" s="30">
        <f t="shared" si="5"/>
        <v>0</v>
      </c>
      <c r="O68" s="42">
        <v>0</v>
      </c>
      <c r="P68" s="41">
        <v>0</v>
      </c>
      <c r="Q68" s="30">
        <f t="shared" si="6"/>
        <v>0</v>
      </c>
      <c r="R68" s="42">
        <v>0</v>
      </c>
      <c r="S68" s="41">
        <v>0</v>
      </c>
      <c r="T68" s="30">
        <f t="shared" si="7"/>
        <v>0</v>
      </c>
      <c r="U68" s="42">
        <v>0</v>
      </c>
      <c r="V68" s="41">
        <v>0</v>
      </c>
      <c r="W68" s="30">
        <f t="shared" si="8"/>
        <v>0</v>
      </c>
      <c r="X68" s="42">
        <v>0</v>
      </c>
      <c r="Y68" s="41">
        <v>0</v>
      </c>
      <c r="Z68" s="30">
        <f t="shared" si="9"/>
        <v>0</v>
      </c>
      <c r="AA68" s="42">
        <v>0</v>
      </c>
      <c r="AB68" s="41">
        <v>0</v>
      </c>
      <c r="AC68" s="30">
        <f t="shared" si="10"/>
        <v>0</v>
      </c>
      <c r="AD68" s="42">
        <v>0</v>
      </c>
      <c r="AE68" s="41">
        <v>0</v>
      </c>
      <c r="AF68" s="30">
        <f t="shared" si="11"/>
        <v>0</v>
      </c>
      <c r="AG68" s="42">
        <v>0</v>
      </c>
      <c r="AH68" s="41">
        <v>0</v>
      </c>
      <c r="AI68" s="30">
        <f t="shared" si="12"/>
        <v>0</v>
      </c>
      <c r="AJ68" s="42">
        <v>0</v>
      </c>
      <c r="AK68" s="41">
        <v>0</v>
      </c>
      <c r="AL68" s="30">
        <f t="shared" si="13"/>
        <v>0</v>
      </c>
      <c r="AM68" s="42">
        <v>0</v>
      </c>
      <c r="AN68" s="41">
        <v>0</v>
      </c>
      <c r="AO68" s="30">
        <f t="shared" si="14"/>
        <v>0</v>
      </c>
      <c r="AP68" s="42">
        <v>0</v>
      </c>
      <c r="AQ68" s="41">
        <v>0</v>
      </c>
      <c r="AR68" s="30">
        <f t="shared" si="16"/>
        <v>0</v>
      </c>
      <c r="AS68" s="29">
        <f t="shared" si="17"/>
        <v>0</v>
      </c>
      <c r="AT68" s="28" t="str">
        <f t="shared" si="20"/>
        <v>Tidak Ada</v>
      </c>
    </row>
    <row r="69" spans="1:46" x14ac:dyDescent="0.2">
      <c r="A69" s="14" t="s">
        <v>31</v>
      </c>
      <c r="B69" s="14" t="s">
        <v>111</v>
      </c>
      <c r="C69" s="42">
        <v>0</v>
      </c>
      <c r="D69" s="41">
        <v>0</v>
      </c>
      <c r="E69" s="30">
        <f t="shared" si="2"/>
        <v>0</v>
      </c>
      <c r="F69" s="42">
        <v>0</v>
      </c>
      <c r="G69" s="41">
        <v>0</v>
      </c>
      <c r="H69" s="30">
        <f t="shared" si="3"/>
        <v>0</v>
      </c>
      <c r="I69" s="42">
        <v>0</v>
      </c>
      <c r="J69" s="41">
        <v>0</v>
      </c>
      <c r="K69" s="30">
        <f t="shared" si="4"/>
        <v>0</v>
      </c>
      <c r="L69" s="42">
        <v>0</v>
      </c>
      <c r="M69" s="41">
        <v>0</v>
      </c>
      <c r="N69" s="30">
        <f t="shared" si="5"/>
        <v>0</v>
      </c>
      <c r="O69" s="42">
        <v>0</v>
      </c>
      <c r="P69" s="41">
        <v>0</v>
      </c>
      <c r="Q69" s="30">
        <f t="shared" si="6"/>
        <v>0</v>
      </c>
      <c r="R69" s="42">
        <v>0</v>
      </c>
      <c r="S69" s="41">
        <v>0</v>
      </c>
      <c r="T69" s="30">
        <f t="shared" si="7"/>
        <v>0</v>
      </c>
      <c r="U69" s="42">
        <v>0</v>
      </c>
      <c r="V69" s="41">
        <v>0</v>
      </c>
      <c r="W69" s="30">
        <f t="shared" si="8"/>
        <v>0</v>
      </c>
      <c r="X69" s="42">
        <v>0</v>
      </c>
      <c r="Y69" s="41">
        <v>0</v>
      </c>
      <c r="Z69" s="30">
        <f t="shared" si="9"/>
        <v>0</v>
      </c>
      <c r="AA69" s="42">
        <v>0</v>
      </c>
      <c r="AB69" s="41">
        <v>0</v>
      </c>
      <c r="AC69" s="30">
        <f t="shared" si="10"/>
        <v>0</v>
      </c>
      <c r="AD69" s="42">
        <v>0</v>
      </c>
      <c r="AE69" s="41">
        <v>0</v>
      </c>
      <c r="AF69" s="30">
        <f t="shared" si="11"/>
        <v>0</v>
      </c>
      <c r="AG69" s="42">
        <v>0</v>
      </c>
      <c r="AH69" s="41">
        <v>0</v>
      </c>
      <c r="AI69" s="30">
        <f t="shared" si="12"/>
        <v>0</v>
      </c>
      <c r="AJ69" s="42">
        <v>0</v>
      </c>
      <c r="AK69" s="41">
        <v>0</v>
      </c>
      <c r="AL69" s="30">
        <f t="shared" si="13"/>
        <v>0</v>
      </c>
      <c r="AM69" s="42">
        <v>0</v>
      </c>
      <c r="AN69" s="41">
        <v>0</v>
      </c>
      <c r="AO69" s="30">
        <f t="shared" si="14"/>
        <v>0</v>
      </c>
      <c r="AP69" s="42">
        <v>0</v>
      </c>
      <c r="AQ69" s="41">
        <v>0</v>
      </c>
      <c r="AR69" s="30">
        <f t="shared" si="16"/>
        <v>0</v>
      </c>
      <c r="AS69" s="29">
        <f t="shared" si="17"/>
        <v>0</v>
      </c>
      <c r="AT69" s="28" t="str">
        <f t="shared" si="20"/>
        <v>Tidak Ada</v>
      </c>
    </row>
    <row r="70" spans="1:46" x14ac:dyDescent="0.2">
      <c r="A70" s="14" t="s">
        <v>31</v>
      </c>
      <c r="B70" s="14" t="s">
        <v>112</v>
      </c>
      <c r="C70" s="42">
        <v>0</v>
      </c>
      <c r="D70" s="41">
        <v>0</v>
      </c>
      <c r="E70" s="30">
        <f t="shared" si="2"/>
        <v>0</v>
      </c>
      <c r="F70" s="42">
        <v>0</v>
      </c>
      <c r="G70" s="41">
        <v>0</v>
      </c>
      <c r="H70" s="30">
        <f t="shared" si="3"/>
        <v>0</v>
      </c>
      <c r="I70" s="42">
        <v>0</v>
      </c>
      <c r="J70" s="41">
        <v>0</v>
      </c>
      <c r="K70" s="30">
        <f t="shared" si="4"/>
        <v>0</v>
      </c>
      <c r="L70" s="42">
        <v>0</v>
      </c>
      <c r="M70" s="41">
        <v>0</v>
      </c>
      <c r="N70" s="30">
        <f t="shared" si="5"/>
        <v>0</v>
      </c>
      <c r="O70" s="42">
        <v>0</v>
      </c>
      <c r="P70" s="41">
        <v>0</v>
      </c>
      <c r="Q70" s="30">
        <f t="shared" si="6"/>
        <v>0</v>
      </c>
      <c r="R70" s="42">
        <v>0</v>
      </c>
      <c r="S70" s="41">
        <v>0</v>
      </c>
      <c r="T70" s="30">
        <f t="shared" si="7"/>
        <v>0</v>
      </c>
      <c r="U70" s="42">
        <v>0</v>
      </c>
      <c r="V70" s="41">
        <v>0</v>
      </c>
      <c r="W70" s="30">
        <f t="shared" si="8"/>
        <v>0</v>
      </c>
      <c r="X70" s="42">
        <v>0</v>
      </c>
      <c r="Y70" s="41">
        <v>0</v>
      </c>
      <c r="Z70" s="30">
        <f t="shared" si="9"/>
        <v>0</v>
      </c>
      <c r="AA70" s="42">
        <v>0</v>
      </c>
      <c r="AB70" s="41">
        <v>0</v>
      </c>
      <c r="AC70" s="30">
        <f t="shared" si="10"/>
        <v>0</v>
      </c>
      <c r="AD70" s="42">
        <v>0</v>
      </c>
      <c r="AE70" s="41">
        <v>0</v>
      </c>
      <c r="AF70" s="30">
        <f t="shared" si="11"/>
        <v>0</v>
      </c>
      <c r="AG70" s="42">
        <v>0</v>
      </c>
      <c r="AH70" s="41">
        <v>0</v>
      </c>
      <c r="AI70" s="30">
        <f t="shared" si="12"/>
        <v>0</v>
      </c>
      <c r="AJ70" s="42">
        <v>0</v>
      </c>
      <c r="AK70" s="41">
        <v>0</v>
      </c>
      <c r="AL70" s="30">
        <f t="shared" si="13"/>
        <v>0</v>
      </c>
      <c r="AM70" s="42">
        <v>0</v>
      </c>
      <c r="AN70" s="41">
        <v>0</v>
      </c>
      <c r="AO70" s="30">
        <f t="shared" si="14"/>
        <v>0</v>
      </c>
      <c r="AP70" s="42">
        <v>0</v>
      </c>
      <c r="AQ70" s="41">
        <v>0</v>
      </c>
      <c r="AR70" s="30">
        <f t="shared" si="16"/>
        <v>0</v>
      </c>
      <c r="AS70" s="29">
        <f t="shared" si="17"/>
        <v>0</v>
      </c>
      <c r="AT70" s="28" t="str">
        <f t="shared" si="20"/>
        <v>Tidak Ada</v>
      </c>
    </row>
    <row r="71" spans="1:46" x14ac:dyDescent="0.2">
      <c r="A71" s="14" t="s">
        <v>31</v>
      </c>
      <c r="B71" s="14" t="s">
        <v>113</v>
      </c>
      <c r="C71" s="42">
        <v>0</v>
      </c>
      <c r="D71" s="41">
        <v>0</v>
      </c>
      <c r="E71" s="30">
        <f t="shared" si="2"/>
        <v>0</v>
      </c>
      <c r="F71" s="42">
        <v>0</v>
      </c>
      <c r="G71" s="41">
        <v>0</v>
      </c>
      <c r="H71" s="30">
        <f t="shared" si="3"/>
        <v>0</v>
      </c>
      <c r="I71" s="42">
        <v>0</v>
      </c>
      <c r="J71" s="41">
        <v>0</v>
      </c>
      <c r="K71" s="30">
        <f t="shared" si="4"/>
        <v>0</v>
      </c>
      <c r="L71" s="42">
        <v>0</v>
      </c>
      <c r="M71" s="41">
        <v>0</v>
      </c>
      <c r="N71" s="30">
        <f t="shared" si="5"/>
        <v>0</v>
      </c>
      <c r="O71" s="42">
        <v>0</v>
      </c>
      <c r="P71" s="41">
        <v>0</v>
      </c>
      <c r="Q71" s="30">
        <f t="shared" si="6"/>
        <v>0</v>
      </c>
      <c r="R71" s="42">
        <v>0</v>
      </c>
      <c r="S71" s="41">
        <v>0</v>
      </c>
      <c r="T71" s="30">
        <f t="shared" si="7"/>
        <v>0</v>
      </c>
      <c r="U71" s="42">
        <v>0</v>
      </c>
      <c r="V71" s="41">
        <v>0</v>
      </c>
      <c r="W71" s="30">
        <f t="shared" si="8"/>
        <v>0</v>
      </c>
      <c r="X71" s="42">
        <v>0</v>
      </c>
      <c r="Y71" s="41">
        <v>0</v>
      </c>
      <c r="Z71" s="30">
        <f t="shared" si="9"/>
        <v>0</v>
      </c>
      <c r="AA71" s="42">
        <v>0</v>
      </c>
      <c r="AB71" s="41">
        <v>0</v>
      </c>
      <c r="AC71" s="30">
        <f t="shared" si="10"/>
        <v>0</v>
      </c>
      <c r="AD71" s="42">
        <v>0</v>
      </c>
      <c r="AE71" s="41">
        <v>0</v>
      </c>
      <c r="AF71" s="30">
        <f t="shared" si="11"/>
        <v>0</v>
      </c>
      <c r="AG71" s="42">
        <v>0</v>
      </c>
      <c r="AH71" s="41">
        <v>0</v>
      </c>
      <c r="AI71" s="30">
        <f t="shared" si="12"/>
        <v>0</v>
      </c>
      <c r="AJ71" s="42">
        <v>0</v>
      </c>
      <c r="AK71" s="41">
        <v>0</v>
      </c>
      <c r="AL71" s="30">
        <f t="shared" si="13"/>
        <v>0</v>
      </c>
      <c r="AM71" s="42">
        <v>0</v>
      </c>
      <c r="AN71" s="41">
        <v>0</v>
      </c>
      <c r="AO71" s="30">
        <f t="shared" si="14"/>
        <v>0</v>
      </c>
      <c r="AP71" s="42">
        <v>0</v>
      </c>
      <c r="AQ71" s="41">
        <v>0</v>
      </c>
      <c r="AR71" s="30">
        <f t="shared" si="16"/>
        <v>0</v>
      </c>
      <c r="AS71" s="29">
        <f t="shared" si="17"/>
        <v>0</v>
      </c>
      <c r="AT71" s="28" t="str">
        <f t="shared" si="20"/>
        <v>Tidak Ada</v>
      </c>
    </row>
    <row r="72" spans="1:46" x14ac:dyDescent="0.2">
      <c r="A72" s="14" t="s">
        <v>31</v>
      </c>
      <c r="B72" s="14" t="s">
        <v>114</v>
      </c>
      <c r="C72" s="42">
        <v>0</v>
      </c>
      <c r="D72" s="41">
        <v>0</v>
      </c>
      <c r="E72" s="30">
        <f t="shared" si="2"/>
        <v>0</v>
      </c>
      <c r="F72" s="42">
        <v>0</v>
      </c>
      <c r="G72" s="41">
        <v>0</v>
      </c>
      <c r="H72" s="30">
        <f t="shared" si="3"/>
        <v>0</v>
      </c>
      <c r="I72" s="42">
        <v>0</v>
      </c>
      <c r="J72" s="41">
        <v>0</v>
      </c>
      <c r="K72" s="30">
        <f t="shared" si="4"/>
        <v>0</v>
      </c>
      <c r="L72" s="42">
        <v>0</v>
      </c>
      <c r="M72" s="41">
        <v>0</v>
      </c>
      <c r="N72" s="30">
        <f t="shared" si="5"/>
        <v>0</v>
      </c>
      <c r="O72" s="42">
        <v>0</v>
      </c>
      <c r="P72" s="41">
        <v>0</v>
      </c>
      <c r="Q72" s="30">
        <f t="shared" si="6"/>
        <v>0</v>
      </c>
      <c r="R72" s="42">
        <v>0</v>
      </c>
      <c r="S72" s="41">
        <v>0</v>
      </c>
      <c r="T72" s="30">
        <f t="shared" si="7"/>
        <v>0</v>
      </c>
      <c r="U72" s="42">
        <v>0</v>
      </c>
      <c r="V72" s="41">
        <v>0</v>
      </c>
      <c r="W72" s="30">
        <f t="shared" si="8"/>
        <v>0</v>
      </c>
      <c r="X72" s="42">
        <v>0</v>
      </c>
      <c r="Y72" s="41">
        <v>0</v>
      </c>
      <c r="Z72" s="30">
        <f t="shared" si="9"/>
        <v>0</v>
      </c>
      <c r="AA72" s="42">
        <v>0</v>
      </c>
      <c r="AB72" s="41">
        <v>0</v>
      </c>
      <c r="AC72" s="30">
        <f t="shared" si="10"/>
        <v>0</v>
      </c>
      <c r="AD72" s="42">
        <v>0</v>
      </c>
      <c r="AE72" s="41">
        <v>0</v>
      </c>
      <c r="AF72" s="30">
        <f t="shared" si="11"/>
        <v>0</v>
      </c>
      <c r="AG72" s="42">
        <v>0</v>
      </c>
      <c r="AH72" s="41">
        <v>0</v>
      </c>
      <c r="AI72" s="30">
        <f t="shared" si="12"/>
        <v>0</v>
      </c>
      <c r="AJ72" s="42">
        <v>0</v>
      </c>
      <c r="AK72" s="41">
        <v>0</v>
      </c>
      <c r="AL72" s="30">
        <f t="shared" si="13"/>
        <v>0</v>
      </c>
      <c r="AM72" s="42">
        <v>0</v>
      </c>
      <c r="AN72" s="41">
        <v>0</v>
      </c>
      <c r="AO72" s="30">
        <f t="shared" si="14"/>
        <v>0</v>
      </c>
      <c r="AP72" s="42">
        <v>0</v>
      </c>
      <c r="AQ72" s="41">
        <v>0</v>
      </c>
      <c r="AR72" s="30">
        <f t="shared" si="16"/>
        <v>0</v>
      </c>
      <c r="AS72" s="29">
        <f t="shared" si="17"/>
        <v>0</v>
      </c>
      <c r="AT72" s="28" t="str">
        <f t="shared" si="20"/>
        <v>Tidak Ada</v>
      </c>
    </row>
    <row r="73" spans="1:46" x14ac:dyDescent="0.2">
      <c r="A73" s="14" t="s">
        <v>31</v>
      </c>
      <c r="B73" s="14" t="s">
        <v>115</v>
      </c>
      <c r="C73" s="42">
        <v>0</v>
      </c>
      <c r="D73" s="41">
        <v>0</v>
      </c>
      <c r="E73" s="30">
        <f t="shared" ref="E73:E87" si="21">SUM(C73:D73)</f>
        <v>0</v>
      </c>
      <c r="F73" s="42">
        <v>0</v>
      </c>
      <c r="G73" s="41">
        <v>0</v>
      </c>
      <c r="H73" s="30">
        <f t="shared" ref="H73:H87" si="22">SUM(F73:G73)</f>
        <v>0</v>
      </c>
      <c r="I73" s="42">
        <v>0</v>
      </c>
      <c r="J73" s="41">
        <v>0</v>
      </c>
      <c r="K73" s="30">
        <f t="shared" ref="K73:K87" si="23">SUM(I73:J73)</f>
        <v>0</v>
      </c>
      <c r="L73" s="42">
        <v>0</v>
      </c>
      <c r="M73" s="41">
        <v>0</v>
      </c>
      <c r="N73" s="30">
        <f t="shared" ref="N73:N87" si="24">SUM(L73:M73)</f>
        <v>0</v>
      </c>
      <c r="O73" s="42">
        <v>0</v>
      </c>
      <c r="P73" s="41">
        <v>0</v>
      </c>
      <c r="Q73" s="30">
        <f t="shared" ref="Q73:Q87" si="25">SUM(O73:P73)</f>
        <v>0</v>
      </c>
      <c r="R73" s="42">
        <v>0</v>
      </c>
      <c r="S73" s="41">
        <v>0</v>
      </c>
      <c r="T73" s="30">
        <f t="shared" ref="T73:T87" si="26">SUM(R73:S73)</f>
        <v>0</v>
      </c>
      <c r="U73" s="42">
        <v>0</v>
      </c>
      <c r="V73" s="41">
        <v>0</v>
      </c>
      <c r="W73" s="30">
        <f t="shared" ref="W73:W87" si="27">SUM(U73:V73)</f>
        <v>0</v>
      </c>
      <c r="X73" s="42">
        <v>0</v>
      </c>
      <c r="Y73" s="41">
        <v>0</v>
      </c>
      <c r="Z73" s="30">
        <f t="shared" ref="Z73:Z87" si="28">SUM(X73:Y73)</f>
        <v>0</v>
      </c>
      <c r="AA73" s="42">
        <v>0</v>
      </c>
      <c r="AB73" s="41">
        <v>0</v>
      </c>
      <c r="AC73" s="30">
        <f t="shared" ref="AC73:AC87" si="29">SUM(AA73:AB73)</f>
        <v>0</v>
      </c>
      <c r="AD73" s="42">
        <v>0</v>
      </c>
      <c r="AE73" s="41">
        <v>0</v>
      </c>
      <c r="AF73" s="30">
        <f t="shared" ref="AF73:AF87" si="30">SUM(AD73:AE73)</f>
        <v>0</v>
      </c>
      <c r="AG73" s="42">
        <v>0</v>
      </c>
      <c r="AH73" s="41">
        <v>0</v>
      </c>
      <c r="AI73" s="30">
        <f t="shared" ref="AI73:AI87" si="31">SUM(AG73:AH73)</f>
        <v>0</v>
      </c>
      <c r="AJ73" s="42">
        <v>0</v>
      </c>
      <c r="AK73" s="41">
        <v>0</v>
      </c>
      <c r="AL73" s="30">
        <f t="shared" ref="AL73:AL87" si="32">SUM(AJ73:AK73)</f>
        <v>0</v>
      </c>
      <c r="AM73" s="42">
        <v>0</v>
      </c>
      <c r="AN73" s="41">
        <v>0</v>
      </c>
      <c r="AO73" s="30">
        <f t="shared" ref="AO73:AO87" si="33">SUM(AM73:AN73)</f>
        <v>0</v>
      </c>
      <c r="AP73" s="42">
        <v>0</v>
      </c>
      <c r="AQ73" s="41">
        <v>0</v>
      </c>
      <c r="AR73" s="30">
        <f t="shared" si="16"/>
        <v>0</v>
      </c>
      <c r="AS73" s="29">
        <f t="shared" si="17"/>
        <v>0</v>
      </c>
      <c r="AT73" s="28" t="str">
        <f t="shared" si="20"/>
        <v>Tidak Ada</v>
      </c>
    </row>
    <row r="74" spans="1:46" x14ac:dyDescent="0.2">
      <c r="A74" s="14" t="s">
        <v>31</v>
      </c>
      <c r="B74" s="14" t="s">
        <v>116</v>
      </c>
      <c r="C74" s="42">
        <v>0</v>
      </c>
      <c r="D74" s="41">
        <v>0</v>
      </c>
      <c r="E74" s="30">
        <f t="shared" si="21"/>
        <v>0</v>
      </c>
      <c r="F74" s="42">
        <v>0</v>
      </c>
      <c r="G74" s="41">
        <v>0</v>
      </c>
      <c r="H74" s="30">
        <f t="shared" si="22"/>
        <v>0</v>
      </c>
      <c r="I74" s="42">
        <v>0</v>
      </c>
      <c r="J74" s="41">
        <v>0</v>
      </c>
      <c r="K74" s="30">
        <f t="shared" si="23"/>
        <v>0</v>
      </c>
      <c r="L74" s="42">
        <v>0</v>
      </c>
      <c r="M74" s="41">
        <v>0</v>
      </c>
      <c r="N74" s="30">
        <f t="shared" si="24"/>
        <v>0</v>
      </c>
      <c r="O74" s="42">
        <v>0</v>
      </c>
      <c r="P74" s="41">
        <v>0</v>
      </c>
      <c r="Q74" s="30">
        <f t="shared" si="25"/>
        <v>0</v>
      </c>
      <c r="R74" s="42">
        <v>0</v>
      </c>
      <c r="S74" s="41">
        <v>0</v>
      </c>
      <c r="T74" s="30">
        <f t="shared" si="26"/>
        <v>0</v>
      </c>
      <c r="U74" s="42">
        <v>0</v>
      </c>
      <c r="V74" s="41">
        <v>0</v>
      </c>
      <c r="W74" s="30">
        <f t="shared" si="27"/>
        <v>0</v>
      </c>
      <c r="X74" s="42">
        <v>0</v>
      </c>
      <c r="Y74" s="41">
        <v>0</v>
      </c>
      <c r="Z74" s="30">
        <f t="shared" si="28"/>
        <v>0</v>
      </c>
      <c r="AA74" s="42">
        <v>0</v>
      </c>
      <c r="AB74" s="41">
        <v>0</v>
      </c>
      <c r="AC74" s="30">
        <f t="shared" si="29"/>
        <v>0</v>
      </c>
      <c r="AD74" s="42">
        <v>0</v>
      </c>
      <c r="AE74" s="41">
        <v>0</v>
      </c>
      <c r="AF74" s="30">
        <f t="shared" si="30"/>
        <v>0</v>
      </c>
      <c r="AG74" s="42">
        <v>0</v>
      </c>
      <c r="AH74" s="41">
        <v>0</v>
      </c>
      <c r="AI74" s="30">
        <f t="shared" si="31"/>
        <v>0</v>
      </c>
      <c r="AJ74" s="42">
        <v>0</v>
      </c>
      <c r="AK74" s="41">
        <v>0</v>
      </c>
      <c r="AL74" s="30">
        <f t="shared" si="32"/>
        <v>0</v>
      </c>
      <c r="AM74" s="42">
        <v>0</v>
      </c>
      <c r="AN74" s="41">
        <v>0</v>
      </c>
      <c r="AO74" s="30">
        <f t="shared" si="33"/>
        <v>0</v>
      </c>
      <c r="AP74" s="42">
        <v>0</v>
      </c>
      <c r="AQ74" s="41">
        <v>0</v>
      </c>
      <c r="AR74" s="30">
        <f t="shared" ref="AR74:AR87" si="34">SUM(AP74:AQ74)</f>
        <v>0</v>
      </c>
      <c r="AS74" s="29">
        <f t="shared" ref="AS74:AS87" si="35">SUM(E74,H74,K74,N74,Q74,T74,W74,Z74,AC74,AF74,AI74,AL74,AO74,AR74)</f>
        <v>0</v>
      </c>
      <c r="AT74" s="28" t="str">
        <f t="shared" si="20"/>
        <v>Tidak Ada</v>
      </c>
    </row>
    <row r="75" spans="1:46" x14ac:dyDescent="0.2">
      <c r="A75" s="14" t="s">
        <v>31</v>
      </c>
      <c r="B75" s="14" t="s">
        <v>117</v>
      </c>
      <c r="C75" s="42">
        <v>0</v>
      </c>
      <c r="D75" s="41">
        <v>0</v>
      </c>
      <c r="E75" s="30">
        <f t="shared" si="21"/>
        <v>0</v>
      </c>
      <c r="F75" s="42">
        <v>0</v>
      </c>
      <c r="G75" s="41">
        <v>0</v>
      </c>
      <c r="H75" s="30">
        <f t="shared" si="22"/>
        <v>0</v>
      </c>
      <c r="I75" s="42">
        <v>0</v>
      </c>
      <c r="J75" s="41">
        <v>0</v>
      </c>
      <c r="K75" s="30">
        <f t="shared" si="23"/>
        <v>0</v>
      </c>
      <c r="L75" s="42">
        <v>0</v>
      </c>
      <c r="M75" s="41">
        <v>0</v>
      </c>
      <c r="N75" s="30">
        <f t="shared" si="24"/>
        <v>0</v>
      </c>
      <c r="O75" s="42">
        <v>0</v>
      </c>
      <c r="P75" s="41">
        <v>0</v>
      </c>
      <c r="Q75" s="30">
        <f t="shared" si="25"/>
        <v>0</v>
      </c>
      <c r="R75" s="42">
        <v>0</v>
      </c>
      <c r="S75" s="41">
        <v>0</v>
      </c>
      <c r="T75" s="30">
        <f t="shared" si="26"/>
        <v>0</v>
      </c>
      <c r="U75" s="42">
        <v>0</v>
      </c>
      <c r="V75" s="41">
        <v>0</v>
      </c>
      <c r="W75" s="30">
        <f t="shared" si="27"/>
        <v>0</v>
      </c>
      <c r="X75" s="42">
        <v>0</v>
      </c>
      <c r="Y75" s="41">
        <v>0</v>
      </c>
      <c r="Z75" s="30">
        <f t="shared" si="28"/>
        <v>0</v>
      </c>
      <c r="AA75" s="42">
        <v>0</v>
      </c>
      <c r="AB75" s="41">
        <v>0</v>
      </c>
      <c r="AC75" s="30">
        <f t="shared" si="29"/>
        <v>0</v>
      </c>
      <c r="AD75" s="42">
        <v>0</v>
      </c>
      <c r="AE75" s="41">
        <v>0</v>
      </c>
      <c r="AF75" s="30">
        <f t="shared" si="30"/>
        <v>0</v>
      </c>
      <c r="AG75" s="42">
        <v>0</v>
      </c>
      <c r="AH75" s="41">
        <v>0</v>
      </c>
      <c r="AI75" s="30">
        <f t="shared" si="31"/>
        <v>0</v>
      </c>
      <c r="AJ75" s="42">
        <v>0</v>
      </c>
      <c r="AK75" s="41">
        <v>0</v>
      </c>
      <c r="AL75" s="30">
        <f t="shared" si="32"/>
        <v>0</v>
      </c>
      <c r="AM75" s="42">
        <v>0</v>
      </c>
      <c r="AN75" s="41">
        <v>0</v>
      </c>
      <c r="AO75" s="30">
        <f t="shared" si="33"/>
        <v>0</v>
      </c>
      <c r="AP75" s="42">
        <v>0</v>
      </c>
      <c r="AQ75" s="41">
        <v>0</v>
      </c>
      <c r="AR75" s="30">
        <f t="shared" si="34"/>
        <v>0</v>
      </c>
      <c r="AS75" s="29">
        <f t="shared" si="35"/>
        <v>0</v>
      </c>
      <c r="AT75" s="28" t="str">
        <f t="shared" si="20"/>
        <v>Tidak Ada</v>
      </c>
    </row>
    <row r="76" spans="1:46" x14ac:dyDescent="0.2">
      <c r="A76" s="14" t="s">
        <v>31</v>
      </c>
      <c r="B76" s="14" t="s">
        <v>118</v>
      </c>
      <c r="C76" s="42">
        <v>0</v>
      </c>
      <c r="D76" s="41">
        <v>0</v>
      </c>
      <c r="E76" s="30">
        <f t="shared" si="21"/>
        <v>0</v>
      </c>
      <c r="F76" s="42">
        <v>0</v>
      </c>
      <c r="G76" s="41">
        <v>0</v>
      </c>
      <c r="H76" s="30">
        <f t="shared" si="22"/>
        <v>0</v>
      </c>
      <c r="I76" s="42">
        <v>0</v>
      </c>
      <c r="J76" s="41">
        <v>0</v>
      </c>
      <c r="K76" s="30">
        <f t="shared" si="23"/>
        <v>0</v>
      </c>
      <c r="L76" s="42">
        <v>0</v>
      </c>
      <c r="M76" s="41">
        <v>0</v>
      </c>
      <c r="N76" s="30">
        <f t="shared" si="24"/>
        <v>0</v>
      </c>
      <c r="O76" s="42">
        <v>0</v>
      </c>
      <c r="P76" s="41">
        <v>0</v>
      </c>
      <c r="Q76" s="30">
        <f t="shared" si="25"/>
        <v>0</v>
      </c>
      <c r="R76" s="42">
        <v>0</v>
      </c>
      <c r="S76" s="41">
        <v>0</v>
      </c>
      <c r="T76" s="30">
        <f t="shared" si="26"/>
        <v>0</v>
      </c>
      <c r="U76" s="42">
        <v>0</v>
      </c>
      <c r="V76" s="41">
        <v>0</v>
      </c>
      <c r="W76" s="30">
        <f t="shared" si="27"/>
        <v>0</v>
      </c>
      <c r="X76" s="42">
        <v>0</v>
      </c>
      <c r="Y76" s="41">
        <v>0</v>
      </c>
      <c r="Z76" s="30">
        <f t="shared" si="28"/>
        <v>0</v>
      </c>
      <c r="AA76" s="42">
        <v>0</v>
      </c>
      <c r="AB76" s="41">
        <v>0</v>
      </c>
      <c r="AC76" s="30">
        <f t="shared" si="29"/>
        <v>0</v>
      </c>
      <c r="AD76" s="42">
        <v>0</v>
      </c>
      <c r="AE76" s="41">
        <v>0</v>
      </c>
      <c r="AF76" s="30">
        <f t="shared" si="30"/>
        <v>0</v>
      </c>
      <c r="AG76" s="42">
        <v>0</v>
      </c>
      <c r="AH76" s="41">
        <v>0</v>
      </c>
      <c r="AI76" s="30">
        <f t="shared" si="31"/>
        <v>0</v>
      </c>
      <c r="AJ76" s="42">
        <v>0</v>
      </c>
      <c r="AK76" s="41">
        <v>0</v>
      </c>
      <c r="AL76" s="30">
        <f t="shared" si="32"/>
        <v>0</v>
      </c>
      <c r="AM76" s="42">
        <v>0</v>
      </c>
      <c r="AN76" s="41">
        <v>0</v>
      </c>
      <c r="AO76" s="30">
        <f t="shared" si="33"/>
        <v>0</v>
      </c>
      <c r="AP76" s="42">
        <v>0</v>
      </c>
      <c r="AQ76" s="41">
        <v>0</v>
      </c>
      <c r="AR76" s="30">
        <f t="shared" si="34"/>
        <v>0</v>
      </c>
      <c r="AS76" s="29">
        <f t="shared" si="35"/>
        <v>0</v>
      </c>
      <c r="AT76" s="28" t="str">
        <f t="shared" si="20"/>
        <v>Tidak Ada</v>
      </c>
    </row>
    <row r="77" spans="1:46" x14ac:dyDescent="0.2">
      <c r="A77" s="14" t="s">
        <v>31</v>
      </c>
      <c r="B77" s="14" t="s">
        <v>119</v>
      </c>
      <c r="C77" s="42">
        <v>0</v>
      </c>
      <c r="D77" s="41">
        <v>0</v>
      </c>
      <c r="E77" s="30">
        <f t="shared" si="21"/>
        <v>0</v>
      </c>
      <c r="F77" s="42">
        <v>0</v>
      </c>
      <c r="G77" s="41">
        <v>0</v>
      </c>
      <c r="H77" s="30">
        <f t="shared" si="22"/>
        <v>0</v>
      </c>
      <c r="I77" s="42">
        <v>0</v>
      </c>
      <c r="J77" s="41">
        <v>0</v>
      </c>
      <c r="K77" s="30">
        <f t="shared" si="23"/>
        <v>0</v>
      </c>
      <c r="L77" s="42">
        <v>0</v>
      </c>
      <c r="M77" s="41">
        <v>0</v>
      </c>
      <c r="N77" s="30">
        <f t="shared" si="24"/>
        <v>0</v>
      </c>
      <c r="O77" s="42">
        <v>0</v>
      </c>
      <c r="P77" s="41">
        <v>0</v>
      </c>
      <c r="Q77" s="30">
        <f t="shared" si="25"/>
        <v>0</v>
      </c>
      <c r="R77" s="42">
        <v>0</v>
      </c>
      <c r="S77" s="41">
        <v>0</v>
      </c>
      <c r="T77" s="30">
        <f t="shared" si="26"/>
        <v>0</v>
      </c>
      <c r="U77" s="42">
        <v>0</v>
      </c>
      <c r="V77" s="41">
        <v>0</v>
      </c>
      <c r="W77" s="30">
        <f t="shared" si="27"/>
        <v>0</v>
      </c>
      <c r="X77" s="42">
        <v>0</v>
      </c>
      <c r="Y77" s="41">
        <v>0</v>
      </c>
      <c r="Z77" s="30">
        <f t="shared" si="28"/>
        <v>0</v>
      </c>
      <c r="AA77" s="42">
        <v>0</v>
      </c>
      <c r="AB77" s="41">
        <v>0</v>
      </c>
      <c r="AC77" s="30">
        <f t="shared" si="29"/>
        <v>0</v>
      </c>
      <c r="AD77" s="42">
        <v>0</v>
      </c>
      <c r="AE77" s="41">
        <v>0</v>
      </c>
      <c r="AF77" s="30">
        <f t="shared" si="30"/>
        <v>0</v>
      </c>
      <c r="AG77" s="42">
        <v>0</v>
      </c>
      <c r="AH77" s="41">
        <v>0</v>
      </c>
      <c r="AI77" s="30">
        <f t="shared" si="31"/>
        <v>0</v>
      </c>
      <c r="AJ77" s="42">
        <v>0</v>
      </c>
      <c r="AK77" s="41">
        <v>0</v>
      </c>
      <c r="AL77" s="30">
        <f t="shared" si="32"/>
        <v>0</v>
      </c>
      <c r="AM77" s="42">
        <v>0</v>
      </c>
      <c r="AN77" s="41">
        <v>0</v>
      </c>
      <c r="AO77" s="30">
        <f t="shared" si="33"/>
        <v>0</v>
      </c>
      <c r="AP77" s="42">
        <v>0</v>
      </c>
      <c r="AQ77" s="41">
        <v>0</v>
      </c>
      <c r="AR77" s="30">
        <f t="shared" si="34"/>
        <v>0</v>
      </c>
      <c r="AS77" s="29">
        <f t="shared" si="35"/>
        <v>0</v>
      </c>
      <c r="AT77" s="28" t="str">
        <f t="shared" si="20"/>
        <v>Tidak Ada</v>
      </c>
    </row>
    <row r="78" spans="1:46" x14ac:dyDescent="0.2">
      <c r="A78" s="14" t="s">
        <v>31</v>
      </c>
      <c r="B78" s="14" t="s">
        <v>120</v>
      </c>
      <c r="C78" s="42">
        <v>0</v>
      </c>
      <c r="D78" s="41">
        <v>0</v>
      </c>
      <c r="E78" s="30">
        <f t="shared" si="21"/>
        <v>0</v>
      </c>
      <c r="F78" s="42">
        <v>0</v>
      </c>
      <c r="G78" s="41">
        <v>0</v>
      </c>
      <c r="H78" s="30">
        <f t="shared" si="22"/>
        <v>0</v>
      </c>
      <c r="I78" s="42">
        <v>0</v>
      </c>
      <c r="J78" s="41">
        <v>0</v>
      </c>
      <c r="K78" s="30">
        <f t="shared" si="23"/>
        <v>0</v>
      </c>
      <c r="L78" s="42">
        <v>0</v>
      </c>
      <c r="M78" s="41">
        <v>0</v>
      </c>
      <c r="N78" s="30">
        <f t="shared" si="24"/>
        <v>0</v>
      </c>
      <c r="O78" s="42">
        <v>0</v>
      </c>
      <c r="P78" s="41">
        <v>0</v>
      </c>
      <c r="Q78" s="30">
        <f t="shared" si="25"/>
        <v>0</v>
      </c>
      <c r="R78" s="42">
        <v>0</v>
      </c>
      <c r="S78" s="41">
        <v>0</v>
      </c>
      <c r="T78" s="30">
        <f t="shared" si="26"/>
        <v>0</v>
      </c>
      <c r="U78" s="42">
        <v>0</v>
      </c>
      <c r="V78" s="41">
        <v>0</v>
      </c>
      <c r="W78" s="30">
        <f t="shared" si="27"/>
        <v>0</v>
      </c>
      <c r="X78" s="42">
        <v>0</v>
      </c>
      <c r="Y78" s="41">
        <v>0</v>
      </c>
      <c r="Z78" s="30">
        <f t="shared" si="28"/>
        <v>0</v>
      </c>
      <c r="AA78" s="42">
        <v>0</v>
      </c>
      <c r="AB78" s="41">
        <v>0</v>
      </c>
      <c r="AC78" s="30">
        <f t="shared" si="29"/>
        <v>0</v>
      </c>
      <c r="AD78" s="42">
        <v>0</v>
      </c>
      <c r="AE78" s="41">
        <v>0</v>
      </c>
      <c r="AF78" s="30">
        <f t="shared" si="30"/>
        <v>0</v>
      </c>
      <c r="AG78" s="42">
        <v>0</v>
      </c>
      <c r="AH78" s="41">
        <v>0</v>
      </c>
      <c r="AI78" s="30">
        <f t="shared" si="31"/>
        <v>0</v>
      </c>
      <c r="AJ78" s="42">
        <v>0</v>
      </c>
      <c r="AK78" s="41">
        <v>0</v>
      </c>
      <c r="AL78" s="30">
        <f t="shared" si="32"/>
        <v>0</v>
      </c>
      <c r="AM78" s="42">
        <v>0</v>
      </c>
      <c r="AN78" s="41">
        <v>0</v>
      </c>
      <c r="AO78" s="30">
        <f t="shared" si="33"/>
        <v>0</v>
      </c>
      <c r="AP78" s="42">
        <v>0</v>
      </c>
      <c r="AQ78" s="41">
        <v>0</v>
      </c>
      <c r="AR78" s="30">
        <f t="shared" si="34"/>
        <v>0</v>
      </c>
      <c r="AS78" s="29">
        <f t="shared" si="35"/>
        <v>0</v>
      </c>
      <c r="AT78" s="28" t="str">
        <f t="shared" ref="AT78:AT87" si="36">IF(AS78&gt;0,"Ada","Tidak Ada")</f>
        <v>Tidak Ada</v>
      </c>
    </row>
    <row r="79" spans="1:46" x14ac:dyDescent="0.2">
      <c r="A79" s="14" t="s">
        <v>31</v>
      </c>
      <c r="B79" s="14" t="s">
        <v>121</v>
      </c>
      <c r="C79" s="42">
        <v>0</v>
      </c>
      <c r="D79" s="41">
        <v>0</v>
      </c>
      <c r="E79" s="30">
        <f t="shared" si="21"/>
        <v>0</v>
      </c>
      <c r="F79" s="42">
        <v>0</v>
      </c>
      <c r="G79" s="41">
        <v>0</v>
      </c>
      <c r="H79" s="30">
        <f t="shared" si="22"/>
        <v>0</v>
      </c>
      <c r="I79" s="42">
        <v>0</v>
      </c>
      <c r="J79" s="41">
        <v>0</v>
      </c>
      <c r="K79" s="30">
        <f t="shared" si="23"/>
        <v>0</v>
      </c>
      <c r="L79" s="42">
        <v>0</v>
      </c>
      <c r="M79" s="41">
        <v>0</v>
      </c>
      <c r="N79" s="30">
        <f t="shared" si="24"/>
        <v>0</v>
      </c>
      <c r="O79" s="42">
        <v>0</v>
      </c>
      <c r="P79" s="41">
        <v>0</v>
      </c>
      <c r="Q79" s="30">
        <f t="shared" si="25"/>
        <v>0</v>
      </c>
      <c r="R79" s="42">
        <v>0</v>
      </c>
      <c r="S79" s="41">
        <v>0</v>
      </c>
      <c r="T79" s="30">
        <f t="shared" si="26"/>
        <v>0</v>
      </c>
      <c r="U79" s="42">
        <v>0</v>
      </c>
      <c r="V79" s="41">
        <v>0</v>
      </c>
      <c r="W79" s="30">
        <f t="shared" si="27"/>
        <v>0</v>
      </c>
      <c r="X79" s="42">
        <v>0</v>
      </c>
      <c r="Y79" s="41">
        <v>0</v>
      </c>
      <c r="Z79" s="30">
        <f t="shared" si="28"/>
        <v>0</v>
      </c>
      <c r="AA79" s="42">
        <v>0</v>
      </c>
      <c r="AB79" s="41">
        <v>0</v>
      </c>
      <c r="AC79" s="30">
        <f t="shared" si="29"/>
        <v>0</v>
      </c>
      <c r="AD79" s="42">
        <v>0</v>
      </c>
      <c r="AE79" s="41">
        <v>0</v>
      </c>
      <c r="AF79" s="30">
        <f t="shared" si="30"/>
        <v>0</v>
      </c>
      <c r="AG79" s="42">
        <v>0</v>
      </c>
      <c r="AH79" s="41">
        <v>0</v>
      </c>
      <c r="AI79" s="30">
        <f t="shared" si="31"/>
        <v>0</v>
      </c>
      <c r="AJ79" s="42">
        <v>0</v>
      </c>
      <c r="AK79" s="41">
        <v>0</v>
      </c>
      <c r="AL79" s="30">
        <f t="shared" si="32"/>
        <v>0</v>
      </c>
      <c r="AM79" s="42">
        <v>0</v>
      </c>
      <c r="AN79" s="41">
        <v>0</v>
      </c>
      <c r="AO79" s="30">
        <f t="shared" si="33"/>
        <v>0</v>
      </c>
      <c r="AP79" s="42">
        <v>0</v>
      </c>
      <c r="AQ79" s="41">
        <v>0</v>
      </c>
      <c r="AR79" s="30">
        <f t="shared" si="34"/>
        <v>0</v>
      </c>
      <c r="AS79" s="29">
        <f t="shared" si="35"/>
        <v>0</v>
      </c>
      <c r="AT79" s="28" t="str">
        <f t="shared" si="36"/>
        <v>Tidak Ada</v>
      </c>
    </row>
    <row r="80" spans="1:46" x14ac:dyDescent="0.2">
      <c r="A80" s="14" t="s">
        <v>31</v>
      </c>
      <c r="B80" s="14" t="s">
        <v>122</v>
      </c>
      <c r="C80" s="42">
        <v>0</v>
      </c>
      <c r="D80" s="41">
        <v>0</v>
      </c>
      <c r="E80" s="30">
        <f t="shared" si="21"/>
        <v>0</v>
      </c>
      <c r="F80" s="42">
        <v>0</v>
      </c>
      <c r="G80" s="41">
        <v>0</v>
      </c>
      <c r="H80" s="30">
        <f t="shared" si="22"/>
        <v>0</v>
      </c>
      <c r="I80" s="42">
        <v>0</v>
      </c>
      <c r="J80" s="41">
        <v>0</v>
      </c>
      <c r="K80" s="30">
        <f t="shared" si="23"/>
        <v>0</v>
      </c>
      <c r="L80" s="42">
        <v>0</v>
      </c>
      <c r="M80" s="41">
        <v>0</v>
      </c>
      <c r="N80" s="30">
        <f t="shared" si="24"/>
        <v>0</v>
      </c>
      <c r="O80" s="42">
        <v>0</v>
      </c>
      <c r="P80" s="41">
        <v>0</v>
      </c>
      <c r="Q80" s="30">
        <f t="shared" si="25"/>
        <v>0</v>
      </c>
      <c r="R80" s="42">
        <v>0</v>
      </c>
      <c r="S80" s="41">
        <v>0</v>
      </c>
      <c r="T80" s="30">
        <f t="shared" si="26"/>
        <v>0</v>
      </c>
      <c r="U80" s="42">
        <v>0</v>
      </c>
      <c r="V80" s="41">
        <v>0</v>
      </c>
      <c r="W80" s="30">
        <f t="shared" si="27"/>
        <v>0</v>
      </c>
      <c r="X80" s="42">
        <v>0</v>
      </c>
      <c r="Y80" s="41">
        <v>0</v>
      </c>
      <c r="Z80" s="30">
        <f t="shared" si="28"/>
        <v>0</v>
      </c>
      <c r="AA80" s="42">
        <v>0</v>
      </c>
      <c r="AB80" s="41">
        <v>0</v>
      </c>
      <c r="AC80" s="30">
        <f t="shared" si="29"/>
        <v>0</v>
      </c>
      <c r="AD80" s="42">
        <v>0</v>
      </c>
      <c r="AE80" s="41">
        <v>0</v>
      </c>
      <c r="AF80" s="30">
        <f t="shared" si="30"/>
        <v>0</v>
      </c>
      <c r="AG80" s="42">
        <v>0</v>
      </c>
      <c r="AH80" s="41">
        <v>0</v>
      </c>
      <c r="AI80" s="30">
        <f t="shared" si="31"/>
        <v>0</v>
      </c>
      <c r="AJ80" s="42">
        <v>0</v>
      </c>
      <c r="AK80" s="41">
        <v>0</v>
      </c>
      <c r="AL80" s="30">
        <f t="shared" si="32"/>
        <v>0</v>
      </c>
      <c r="AM80" s="42">
        <v>0</v>
      </c>
      <c r="AN80" s="41">
        <v>0</v>
      </c>
      <c r="AO80" s="30">
        <f t="shared" si="33"/>
        <v>0</v>
      </c>
      <c r="AP80" s="42">
        <v>0</v>
      </c>
      <c r="AQ80" s="41">
        <v>0</v>
      </c>
      <c r="AR80" s="30">
        <f t="shared" si="34"/>
        <v>0</v>
      </c>
      <c r="AS80" s="29">
        <f t="shared" si="35"/>
        <v>0</v>
      </c>
      <c r="AT80" s="28" t="str">
        <f t="shared" si="36"/>
        <v>Tidak Ada</v>
      </c>
    </row>
    <row r="81" spans="1:46" x14ac:dyDescent="0.2">
      <c r="A81" s="14" t="s">
        <v>31</v>
      </c>
      <c r="B81" s="14" t="s">
        <v>123</v>
      </c>
      <c r="C81" s="42">
        <v>0</v>
      </c>
      <c r="D81" s="41">
        <v>0</v>
      </c>
      <c r="E81" s="30">
        <f t="shared" si="21"/>
        <v>0</v>
      </c>
      <c r="F81" s="42">
        <v>0</v>
      </c>
      <c r="G81" s="41">
        <v>0</v>
      </c>
      <c r="H81" s="30">
        <f t="shared" si="22"/>
        <v>0</v>
      </c>
      <c r="I81" s="42">
        <v>0</v>
      </c>
      <c r="J81" s="41">
        <v>0</v>
      </c>
      <c r="K81" s="30">
        <f t="shared" si="23"/>
        <v>0</v>
      </c>
      <c r="L81" s="42">
        <v>0</v>
      </c>
      <c r="M81" s="41">
        <v>0</v>
      </c>
      <c r="N81" s="30">
        <f t="shared" si="24"/>
        <v>0</v>
      </c>
      <c r="O81" s="42">
        <v>0</v>
      </c>
      <c r="P81" s="41">
        <v>0</v>
      </c>
      <c r="Q81" s="30">
        <f t="shared" si="25"/>
        <v>0</v>
      </c>
      <c r="R81" s="42">
        <v>0</v>
      </c>
      <c r="S81" s="41">
        <v>0</v>
      </c>
      <c r="T81" s="30">
        <f t="shared" si="26"/>
        <v>0</v>
      </c>
      <c r="U81" s="42">
        <v>0</v>
      </c>
      <c r="V81" s="41">
        <v>0</v>
      </c>
      <c r="W81" s="30">
        <f t="shared" si="27"/>
        <v>0</v>
      </c>
      <c r="X81" s="42">
        <v>0</v>
      </c>
      <c r="Y81" s="41">
        <v>0</v>
      </c>
      <c r="Z81" s="30">
        <f t="shared" si="28"/>
        <v>0</v>
      </c>
      <c r="AA81" s="42">
        <v>0</v>
      </c>
      <c r="AB81" s="41">
        <v>0</v>
      </c>
      <c r="AC81" s="30">
        <f t="shared" si="29"/>
        <v>0</v>
      </c>
      <c r="AD81" s="42">
        <v>0</v>
      </c>
      <c r="AE81" s="41">
        <v>0</v>
      </c>
      <c r="AF81" s="30">
        <f t="shared" si="30"/>
        <v>0</v>
      </c>
      <c r="AG81" s="42">
        <v>0</v>
      </c>
      <c r="AH81" s="41">
        <v>0</v>
      </c>
      <c r="AI81" s="30">
        <f t="shared" si="31"/>
        <v>0</v>
      </c>
      <c r="AJ81" s="42">
        <v>0</v>
      </c>
      <c r="AK81" s="41">
        <v>0</v>
      </c>
      <c r="AL81" s="30">
        <f t="shared" si="32"/>
        <v>0</v>
      </c>
      <c r="AM81" s="42">
        <v>0</v>
      </c>
      <c r="AN81" s="41">
        <v>0</v>
      </c>
      <c r="AO81" s="30">
        <f t="shared" si="33"/>
        <v>0</v>
      </c>
      <c r="AP81" s="42">
        <v>0</v>
      </c>
      <c r="AQ81" s="41">
        <v>0</v>
      </c>
      <c r="AR81" s="30">
        <f t="shared" si="34"/>
        <v>0</v>
      </c>
      <c r="AS81" s="29">
        <f t="shared" si="35"/>
        <v>0</v>
      </c>
      <c r="AT81" s="28" t="str">
        <f t="shared" si="36"/>
        <v>Tidak Ada</v>
      </c>
    </row>
    <row r="82" spans="1:46" x14ac:dyDescent="0.2">
      <c r="A82" s="14" t="s">
        <v>31</v>
      </c>
      <c r="B82" s="14" t="s">
        <v>124</v>
      </c>
      <c r="C82" s="42">
        <v>0</v>
      </c>
      <c r="D82" s="41">
        <v>0</v>
      </c>
      <c r="E82" s="30">
        <f t="shared" si="21"/>
        <v>0</v>
      </c>
      <c r="F82" s="42">
        <v>0</v>
      </c>
      <c r="G82" s="41">
        <v>0</v>
      </c>
      <c r="H82" s="30">
        <f t="shared" si="22"/>
        <v>0</v>
      </c>
      <c r="I82" s="42">
        <v>0</v>
      </c>
      <c r="J82" s="41">
        <v>0</v>
      </c>
      <c r="K82" s="30">
        <f t="shared" si="23"/>
        <v>0</v>
      </c>
      <c r="L82" s="42">
        <v>0</v>
      </c>
      <c r="M82" s="41">
        <v>0</v>
      </c>
      <c r="N82" s="30">
        <f t="shared" si="24"/>
        <v>0</v>
      </c>
      <c r="O82" s="42">
        <v>0</v>
      </c>
      <c r="P82" s="41">
        <v>0</v>
      </c>
      <c r="Q82" s="30">
        <f t="shared" si="25"/>
        <v>0</v>
      </c>
      <c r="R82" s="42">
        <v>0</v>
      </c>
      <c r="S82" s="41">
        <v>0</v>
      </c>
      <c r="T82" s="30">
        <f t="shared" si="26"/>
        <v>0</v>
      </c>
      <c r="U82" s="42">
        <v>0</v>
      </c>
      <c r="V82" s="41">
        <v>0</v>
      </c>
      <c r="W82" s="30">
        <f t="shared" si="27"/>
        <v>0</v>
      </c>
      <c r="X82" s="42">
        <v>0</v>
      </c>
      <c r="Y82" s="41">
        <v>0</v>
      </c>
      <c r="Z82" s="30">
        <f t="shared" si="28"/>
        <v>0</v>
      </c>
      <c r="AA82" s="42">
        <v>0</v>
      </c>
      <c r="AB82" s="41">
        <v>0</v>
      </c>
      <c r="AC82" s="30">
        <f t="shared" si="29"/>
        <v>0</v>
      </c>
      <c r="AD82" s="42">
        <v>0</v>
      </c>
      <c r="AE82" s="41">
        <v>0</v>
      </c>
      <c r="AF82" s="30">
        <f t="shared" si="30"/>
        <v>0</v>
      </c>
      <c r="AG82" s="42">
        <v>0</v>
      </c>
      <c r="AH82" s="41">
        <v>0</v>
      </c>
      <c r="AI82" s="30">
        <f t="shared" si="31"/>
        <v>0</v>
      </c>
      <c r="AJ82" s="42">
        <v>0</v>
      </c>
      <c r="AK82" s="41">
        <v>0</v>
      </c>
      <c r="AL82" s="30">
        <f t="shared" si="32"/>
        <v>0</v>
      </c>
      <c r="AM82" s="42">
        <v>0</v>
      </c>
      <c r="AN82" s="41">
        <v>0</v>
      </c>
      <c r="AO82" s="30">
        <f t="shared" si="33"/>
        <v>0</v>
      </c>
      <c r="AP82" s="42">
        <v>0</v>
      </c>
      <c r="AQ82" s="41">
        <v>0</v>
      </c>
      <c r="AR82" s="30">
        <f t="shared" si="34"/>
        <v>0</v>
      </c>
      <c r="AS82" s="29">
        <f t="shared" si="35"/>
        <v>0</v>
      </c>
      <c r="AT82" s="28" t="str">
        <f t="shared" si="36"/>
        <v>Tidak Ada</v>
      </c>
    </row>
    <row r="83" spans="1:46" x14ac:dyDescent="0.2">
      <c r="A83" s="14" t="s">
        <v>31</v>
      </c>
      <c r="B83" s="14" t="s">
        <v>125</v>
      </c>
      <c r="C83" s="42">
        <v>0</v>
      </c>
      <c r="D83" s="41">
        <v>0</v>
      </c>
      <c r="E83" s="30">
        <f t="shared" si="21"/>
        <v>0</v>
      </c>
      <c r="F83" s="42">
        <v>0</v>
      </c>
      <c r="G83" s="41">
        <v>0</v>
      </c>
      <c r="H83" s="30">
        <f t="shared" si="22"/>
        <v>0</v>
      </c>
      <c r="I83" s="42">
        <v>0</v>
      </c>
      <c r="J83" s="41">
        <v>0</v>
      </c>
      <c r="K83" s="30">
        <f t="shared" si="23"/>
        <v>0</v>
      </c>
      <c r="L83" s="42">
        <v>0</v>
      </c>
      <c r="M83" s="41">
        <v>0</v>
      </c>
      <c r="N83" s="30">
        <f t="shared" si="24"/>
        <v>0</v>
      </c>
      <c r="O83" s="42">
        <v>0</v>
      </c>
      <c r="P83" s="41">
        <v>0</v>
      </c>
      <c r="Q83" s="30">
        <f t="shared" si="25"/>
        <v>0</v>
      </c>
      <c r="R83" s="42">
        <v>0</v>
      </c>
      <c r="S83" s="41">
        <v>0</v>
      </c>
      <c r="T83" s="30">
        <f t="shared" si="26"/>
        <v>0</v>
      </c>
      <c r="U83" s="42">
        <v>0</v>
      </c>
      <c r="V83" s="41">
        <v>0</v>
      </c>
      <c r="W83" s="30">
        <f t="shared" si="27"/>
        <v>0</v>
      </c>
      <c r="X83" s="42">
        <v>0</v>
      </c>
      <c r="Y83" s="41">
        <v>0</v>
      </c>
      <c r="Z83" s="30">
        <f t="shared" si="28"/>
        <v>0</v>
      </c>
      <c r="AA83" s="42">
        <v>0</v>
      </c>
      <c r="AB83" s="41">
        <v>0</v>
      </c>
      <c r="AC83" s="30">
        <f t="shared" si="29"/>
        <v>0</v>
      </c>
      <c r="AD83" s="42">
        <v>0</v>
      </c>
      <c r="AE83" s="41">
        <v>0</v>
      </c>
      <c r="AF83" s="30">
        <f t="shared" si="30"/>
        <v>0</v>
      </c>
      <c r="AG83" s="42">
        <v>0</v>
      </c>
      <c r="AH83" s="41">
        <v>0</v>
      </c>
      <c r="AI83" s="30">
        <f t="shared" si="31"/>
        <v>0</v>
      </c>
      <c r="AJ83" s="42">
        <v>0</v>
      </c>
      <c r="AK83" s="41">
        <v>0</v>
      </c>
      <c r="AL83" s="30">
        <f t="shared" si="32"/>
        <v>0</v>
      </c>
      <c r="AM83" s="42">
        <v>0</v>
      </c>
      <c r="AN83" s="41">
        <v>0</v>
      </c>
      <c r="AO83" s="30">
        <f t="shared" si="33"/>
        <v>0</v>
      </c>
      <c r="AP83" s="42">
        <v>0</v>
      </c>
      <c r="AQ83" s="41">
        <v>0</v>
      </c>
      <c r="AR83" s="30">
        <f t="shared" si="34"/>
        <v>0</v>
      </c>
      <c r="AS83" s="29">
        <f t="shared" si="35"/>
        <v>0</v>
      </c>
      <c r="AT83" s="28" t="str">
        <f t="shared" si="36"/>
        <v>Tidak Ada</v>
      </c>
    </row>
    <row r="84" spans="1:46" x14ac:dyDescent="0.2">
      <c r="A84" s="14" t="s">
        <v>31</v>
      </c>
      <c r="B84" s="14" t="s">
        <v>126</v>
      </c>
      <c r="C84" s="42">
        <v>0</v>
      </c>
      <c r="D84" s="41">
        <v>0</v>
      </c>
      <c r="E84" s="30">
        <f t="shared" si="21"/>
        <v>0</v>
      </c>
      <c r="F84" s="42">
        <v>0</v>
      </c>
      <c r="G84" s="41">
        <v>0</v>
      </c>
      <c r="H84" s="30">
        <f t="shared" si="22"/>
        <v>0</v>
      </c>
      <c r="I84" s="42">
        <v>0</v>
      </c>
      <c r="J84" s="41">
        <v>0</v>
      </c>
      <c r="K84" s="30">
        <f t="shared" si="23"/>
        <v>0</v>
      </c>
      <c r="L84" s="42">
        <v>0</v>
      </c>
      <c r="M84" s="41">
        <v>0</v>
      </c>
      <c r="N84" s="30">
        <f t="shared" si="24"/>
        <v>0</v>
      </c>
      <c r="O84" s="42">
        <v>0</v>
      </c>
      <c r="P84" s="41">
        <v>0</v>
      </c>
      <c r="Q84" s="30">
        <f t="shared" si="25"/>
        <v>0</v>
      </c>
      <c r="R84" s="42">
        <v>0</v>
      </c>
      <c r="S84" s="41">
        <v>0</v>
      </c>
      <c r="T84" s="30">
        <f t="shared" si="26"/>
        <v>0</v>
      </c>
      <c r="U84" s="42">
        <v>0</v>
      </c>
      <c r="V84" s="41">
        <v>0</v>
      </c>
      <c r="W84" s="30">
        <f t="shared" si="27"/>
        <v>0</v>
      </c>
      <c r="X84" s="42">
        <v>0</v>
      </c>
      <c r="Y84" s="41">
        <v>0</v>
      </c>
      <c r="Z84" s="30">
        <f t="shared" si="28"/>
        <v>0</v>
      </c>
      <c r="AA84" s="42">
        <v>0</v>
      </c>
      <c r="AB84" s="41">
        <v>0</v>
      </c>
      <c r="AC84" s="30">
        <f t="shared" si="29"/>
        <v>0</v>
      </c>
      <c r="AD84" s="42">
        <v>0</v>
      </c>
      <c r="AE84" s="41">
        <v>0</v>
      </c>
      <c r="AF84" s="30">
        <f t="shared" si="30"/>
        <v>0</v>
      </c>
      <c r="AG84" s="42">
        <v>0</v>
      </c>
      <c r="AH84" s="41">
        <v>0</v>
      </c>
      <c r="AI84" s="30">
        <f t="shared" si="31"/>
        <v>0</v>
      </c>
      <c r="AJ84" s="42">
        <v>0</v>
      </c>
      <c r="AK84" s="41">
        <v>0</v>
      </c>
      <c r="AL84" s="30">
        <f t="shared" si="32"/>
        <v>0</v>
      </c>
      <c r="AM84" s="42">
        <v>0</v>
      </c>
      <c r="AN84" s="41">
        <v>0</v>
      </c>
      <c r="AO84" s="30">
        <f t="shared" si="33"/>
        <v>0</v>
      </c>
      <c r="AP84" s="42">
        <v>0</v>
      </c>
      <c r="AQ84" s="41">
        <v>0</v>
      </c>
      <c r="AR84" s="30">
        <f t="shared" si="34"/>
        <v>0</v>
      </c>
      <c r="AS84" s="29">
        <f t="shared" si="35"/>
        <v>0</v>
      </c>
      <c r="AT84" s="28" t="str">
        <f t="shared" si="36"/>
        <v>Tidak Ada</v>
      </c>
    </row>
    <row r="85" spans="1:46" x14ac:dyDescent="0.2">
      <c r="A85" s="14" t="s">
        <v>31</v>
      </c>
      <c r="B85" s="14" t="s">
        <v>40</v>
      </c>
      <c r="C85" s="42">
        <v>0</v>
      </c>
      <c r="D85" s="41">
        <v>0</v>
      </c>
      <c r="E85" s="30">
        <f t="shared" si="21"/>
        <v>0</v>
      </c>
      <c r="F85" s="42">
        <v>0</v>
      </c>
      <c r="G85" s="41">
        <v>0</v>
      </c>
      <c r="H85" s="30">
        <f t="shared" si="22"/>
        <v>0</v>
      </c>
      <c r="I85" s="42">
        <v>0</v>
      </c>
      <c r="J85" s="41">
        <v>0</v>
      </c>
      <c r="K85" s="30">
        <f t="shared" si="23"/>
        <v>0</v>
      </c>
      <c r="L85" s="42">
        <v>0</v>
      </c>
      <c r="M85" s="41">
        <v>0</v>
      </c>
      <c r="N85" s="30">
        <f t="shared" si="24"/>
        <v>0</v>
      </c>
      <c r="O85" s="42">
        <v>0</v>
      </c>
      <c r="P85" s="41">
        <v>0</v>
      </c>
      <c r="Q85" s="30">
        <f t="shared" si="25"/>
        <v>0</v>
      </c>
      <c r="R85" s="42">
        <v>0</v>
      </c>
      <c r="S85" s="41">
        <v>0</v>
      </c>
      <c r="T85" s="30">
        <f t="shared" si="26"/>
        <v>0</v>
      </c>
      <c r="U85" s="42">
        <v>0</v>
      </c>
      <c r="V85" s="41">
        <v>0</v>
      </c>
      <c r="W85" s="30">
        <f t="shared" si="27"/>
        <v>0</v>
      </c>
      <c r="X85" s="42">
        <v>0</v>
      </c>
      <c r="Y85" s="41">
        <v>0</v>
      </c>
      <c r="Z85" s="30">
        <f t="shared" si="28"/>
        <v>0</v>
      </c>
      <c r="AA85" s="42">
        <v>0</v>
      </c>
      <c r="AB85" s="41">
        <v>0</v>
      </c>
      <c r="AC85" s="30">
        <f t="shared" si="29"/>
        <v>0</v>
      </c>
      <c r="AD85" s="42">
        <v>0</v>
      </c>
      <c r="AE85" s="41">
        <v>0</v>
      </c>
      <c r="AF85" s="30">
        <f t="shared" si="30"/>
        <v>0</v>
      </c>
      <c r="AG85" s="42">
        <v>0</v>
      </c>
      <c r="AH85" s="41">
        <v>0</v>
      </c>
      <c r="AI85" s="30">
        <f t="shared" si="31"/>
        <v>0</v>
      </c>
      <c r="AJ85" s="42">
        <v>0</v>
      </c>
      <c r="AK85" s="41">
        <v>0</v>
      </c>
      <c r="AL85" s="30">
        <f t="shared" si="32"/>
        <v>0</v>
      </c>
      <c r="AM85" s="42">
        <v>0</v>
      </c>
      <c r="AN85" s="41">
        <v>0</v>
      </c>
      <c r="AO85" s="30">
        <f t="shared" si="33"/>
        <v>0</v>
      </c>
      <c r="AP85" s="42">
        <v>0</v>
      </c>
      <c r="AQ85" s="41">
        <v>0</v>
      </c>
      <c r="AR85" s="30">
        <f t="shared" si="34"/>
        <v>0</v>
      </c>
      <c r="AS85" s="29">
        <f t="shared" si="35"/>
        <v>0</v>
      </c>
      <c r="AT85" s="28" t="str">
        <f t="shared" si="36"/>
        <v>Tidak Ada</v>
      </c>
    </row>
    <row r="86" spans="1:46" x14ac:dyDescent="0.2">
      <c r="A86" s="14" t="s">
        <v>31</v>
      </c>
      <c r="B86" s="14" t="s">
        <v>41</v>
      </c>
      <c r="C86" s="42">
        <v>0</v>
      </c>
      <c r="D86" s="41">
        <v>0</v>
      </c>
      <c r="E86" s="30">
        <f t="shared" si="21"/>
        <v>0</v>
      </c>
      <c r="F86" s="42">
        <v>0</v>
      </c>
      <c r="G86" s="41">
        <v>0</v>
      </c>
      <c r="H86" s="30">
        <f t="shared" si="22"/>
        <v>0</v>
      </c>
      <c r="I86" s="42">
        <v>0</v>
      </c>
      <c r="J86" s="41">
        <v>0</v>
      </c>
      <c r="K86" s="30">
        <f t="shared" si="23"/>
        <v>0</v>
      </c>
      <c r="L86" s="42">
        <v>0</v>
      </c>
      <c r="M86" s="41">
        <v>0</v>
      </c>
      <c r="N86" s="30">
        <f t="shared" si="24"/>
        <v>0</v>
      </c>
      <c r="O86" s="42">
        <v>0</v>
      </c>
      <c r="P86" s="41">
        <v>0</v>
      </c>
      <c r="Q86" s="30">
        <f t="shared" si="25"/>
        <v>0</v>
      </c>
      <c r="R86" s="42">
        <v>0</v>
      </c>
      <c r="S86" s="41">
        <v>0</v>
      </c>
      <c r="T86" s="30">
        <f t="shared" si="26"/>
        <v>0</v>
      </c>
      <c r="U86" s="42">
        <v>0</v>
      </c>
      <c r="V86" s="41">
        <v>0</v>
      </c>
      <c r="W86" s="30">
        <f t="shared" si="27"/>
        <v>0</v>
      </c>
      <c r="X86" s="42">
        <v>0</v>
      </c>
      <c r="Y86" s="41">
        <v>0</v>
      </c>
      <c r="Z86" s="30">
        <f t="shared" si="28"/>
        <v>0</v>
      </c>
      <c r="AA86" s="42">
        <v>0</v>
      </c>
      <c r="AB86" s="41">
        <v>0</v>
      </c>
      <c r="AC86" s="30">
        <f t="shared" si="29"/>
        <v>0</v>
      </c>
      <c r="AD86" s="42">
        <v>0</v>
      </c>
      <c r="AE86" s="41">
        <v>0</v>
      </c>
      <c r="AF86" s="30">
        <f t="shared" si="30"/>
        <v>0</v>
      </c>
      <c r="AG86" s="42">
        <v>0</v>
      </c>
      <c r="AH86" s="41">
        <v>0</v>
      </c>
      <c r="AI86" s="30">
        <f t="shared" si="31"/>
        <v>0</v>
      </c>
      <c r="AJ86" s="42">
        <v>0</v>
      </c>
      <c r="AK86" s="41">
        <v>0</v>
      </c>
      <c r="AL86" s="30">
        <f t="shared" si="32"/>
        <v>0</v>
      </c>
      <c r="AM86" s="42">
        <v>0</v>
      </c>
      <c r="AN86" s="41">
        <v>0</v>
      </c>
      <c r="AO86" s="30">
        <f t="shared" si="33"/>
        <v>0</v>
      </c>
      <c r="AP86" s="42">
        <v>0</v>
      </c>
      <c r="AQ86" s="41">
        <v>0</v>
      </c>
      <c r="AR86" s="30">
        <f t="shared" si="34"/>
        <v>0</v>
      </c>
      <c r="AS86" s="29">
        <f t="shared" si="35"/>
        <v>0</v>
      </c>
      <c r="AT86" s="28" t="str">
        <f t="shared" si="36"/>
        <v>Tidak Ada</v>
      </c>
    </row>
    <row r="87" spans="1:46" x14ac:dyDescent="0.2">
      <c r="A87" s="14" t="s">
        <v>31</v>
      </c>
      <c r="B87" s="14" t="s">
        <v>42</v>
      </c>
      <c r="C87" s="42">
        <v>0</v>
      </c>
      <c r="D87" s="41">
        <v>0</v>
      </c>
      <c r="E87" s="30">
        <f t="shared" si="21"/>
        <v>0</v>
      </c>
      <c r="F87" s="42">
        <v>0</v>
      </c>
      <c r="G87" s="41">
        <v>0</v>
      </c>
      <c r="H87" s="30">
        <f t="shared" si="22"/>
        <v>0</v>
      </c>
      <c r="I87" s="42">
        <v>0</v>
      </c>
      <c r="J87" s="41">
        <v>0</v>
      </c>
      <c r="K87" s="30">
        <f t="shared" si="23"/>
        <v>0</v>
      </c>
      <c r="L87" s="42">
        <v>0</v>
      </c>
      <c r="M87" s="41">
        <v>0</v>
      </c>
      <c r="N87" s="30">
        <f t="shared" si="24"/>
        <v>0</v>
      </c>
      <c r="O87" s="42">
        <v>0</v>
      </c>
      <c r="P87" s="41">
        <v>0</v>
      </c>
      <c r="Q87" s="30">
        <f t="shared" si="25"/>
        <v>0</v>
      </c>
      <c r="R87" s="42">
        <v>0</v>
      </c>
      <c r="S87" s="41">
        <v>0</v>
      </c>
      <c r="T87" s="30">
        <f t="shared" si="26"/>
        <v>0</v>
      </c>
      <c r="U87" s="42">
        <v>0</v>
      </c>
      <c r="V87" s="41">
        <v>0</v>
      </c>
      <c r="W87" s="30">
        <f t="shared" si="27"/>
        <v>0</v>
      </c>
      <c r="X87" s="42">
        <v>0</v>
      </c>
      <c r="Y87" s="41">
        <v>0</v>
      </c>
      <c r="Z87" s="30">
        <f t="shared" si="28"/>
        <v>0</v>
      </c>
      <c r="AA87" s="42">
        <v>0</v>
      </c>
      <c r="AB87" s="41">
        <v>0</v>
      </c>
      <c r="AC87" s="30">
        <f t="shared" si="29"/>
        <v>0</v>
      </c>
      <c r="AD87" s="42">
        <v>0</v>
      </c>
      <c r="AE87" s="41">
        <v>0</v>
      </c>
      <c r="AF87" s="30">
        <f t="shared" si="30"/>
        <v>0</v>
      </c>
      <c r="AG87" s="42">
        <v>0</v>
      </c>
      <c r="AH87" s="41">
        <v>0</v>
      </c>
      <c r="AI87" s="30">
        <f t="shared" si="31"/>
        <v>0</v>
      </c>
      <c r="AJ87" s="42">
        <v>0</v>
      </c>
      <c r="AK87" s="41">
        <v>0</v>
      </c>
      <c r="AL87" s="30">
        <f t="shared" si="32"/>
        <v>0</v>
      </c>
      <c r="AM87" s="42">
        <v>0</v>
      </c>
      <c r="AN87" s="41">
        <v>0</v>
      </c>
      <c r="AO87" s="30">
        <f t="shared" si="33"/>
        <v>0</v>
      </c>
      <c r="AP87" s="42">
        <v>0</v>
      </c>
      <c r="AQ87" s="41">
        <v>0</v>
      </c>
      <c r="AR87" s="30">
        <f t="shared" si="34"/>
        <v>0</v>
      </c>
      <c r="AS87" s="29">
        <f t="shared" si="35"/>
        <v>0</v>
      </c>
      <c r="AT87" s="28" t="str">
        <f t="shared" si="36"/>
        <v>Tidak Ada</v>
      </c>
    </row>
  </sheetData>
  <sheetProtection formatColumns="0" autoFilter="0"/>
  <autoFilter ref="A8:AT87"/>
  <conditionalFormatting sqref="C7:AR7 C9:AR87">
    <cfRule type="expression" dxfId="3" priority="50">
      <formula>C$6&lt;&gt;C$7</formula>
    </cfRule>
  </conditionalFormatting>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Q87"/>
  <sheetViews>
    <sheetView workbookViewId="0">
      <pane xSplit="2" ySplit="8" topLeftCell="J9" activePane="bottomRight" state="frozen"/>
      <selection pane="topRight" activeCell="B1" sqref="B1"/>
      <selection pane="bottomLeft" activeCell="A4" sqref="A4"/>
      <selection pane="bottomRight" activeCell="K6" sqref="K6"/>
    </sheetView>
  </sheetViews>
  <sheetFormatPr defaultColWidth="9" defaultRowHeight="12" x14ac:dyDescent="0.2"/>
  <cols>
    <col min="1" max="1" width="15.6640625" bestFit="1" customWidth="1"/>
    <col min="2" max="2" width="43.1640625" customWidth="1"/>
    <col min="3" max="3" width="21.1640625" bestFit="1" customWidth="1"/>
    <col min="4" max="4" width="23" bestFit="1" customWidth="1"/>
    <col min="5" max="5" width="16.1640625" bestFit="1" customWidth="1"/>
    <col min="6" max="7" width="22.83203125" bestFit="1" customWidth="1"/>
    <col min="8" max="8" width="16.83203125" bestFit="1" customWidth="1"/>
    <col min="9" max="9" width="17.1640625" bestFit="1" customWidth="1"/>
    <col min="10" max="10" width="19.1640625" bestFit="1" customWidth="1"/>
    <col min="11" max="11" width="16.1640625" bestFit="1" customWidth="1"/>
    <col min="12" max="12" width="20.83203125" bestFit="1" customWidth="1"/>
    <col min="13" max="13" width="20.1640625" bestFit="1" customWidth="1"/>
    <col min="14" max="14" width="18" bestFit="1" customWidth="1"/>
    <col min="15" max="15" width="19.1640625" bestFit="1" customWidth="1"/>
    <col min="16" max="16" width="18.1640625" bestFit="1" customWidth="1"/>
    <col min="17" max="17" width="14.1640625" bestFit="1" customWidth="1"/>
  </cols>
  <sheetData>
    <row r="1" spans="1:17" hidden="1" x14ac:dyDescent="0.2"/>
    <row r="2" spans="1:17" hidden="1" x14ac:dyDescent="0.2"/>
    <row r="3" spans="1:17" hidden="1" x14ac:dyDescent="0.2"/>
    <row r="4" spans="1:17" hidden="1" x14ac:dyDescent="0.2"/>
    <row r="5" spans="1:17" x14ac:dyDescent="0.2">
      <c r="B5" s="14" t="s">
        <v>26</v>
      </c>
      <c r="C5" s="14" t="str">
        <f>'4. Isi Produksi Ikan'!E4</f>
        <v>KAB. BARITO SELATAN Total</v>
      </c>
      <c r="D5" s="14" t="str">
        <f>'4. Isi Produksi Ikan'!H4</f>
        <v>KAB. BARITO TIMUR Total</v>
      </c>
      <c r="E5" s="14" t="str">
        <f>'4. Isi Produksi Ikan'!K4</f>
        <v>KAB. BARITO UTARA Total</v>
      </c>
      <c r="F5" s="14" t="str">
        <f>'4. Isi Produksi Ikan'!N4</f>
        <v>KAB. GUNUNG MAS Total</v>
      </c>
      <c r="G5" s="14" t="str">
        <f>'4. Isi Produksi Ikan'!Q4</f>
        <v>KAB. KAPUAS Total</v>
      </c>
      <c r="H5" s="14" t="str">
        <f>'4. Isi Produksi Ikan'!T4</f>
        <v>KAB. KATINGAN Total</v>
      </c>
      <c r="I5" s="14" t="str">
        <f>'4. Isi Produksi Ikan'!W4</f>
        <v>KAB. KOTAWARINGIN BARAT Total</v>
      </c>
      <c r="J5" s="14" t="str">
        <f>'4. Isi Produksi Ikan'!Z4</f>
        <v>KAB. KOTAWARINGIN TIMUR Total</v>
      </c>
      <c r="K5" s="14" t="str">
        <f>'4. Isi Produksi Ikan'!AC4</f>
        <v>KAB. LAMANDAU Total</v>
      </c>
      <c r="L5" s="14" t="str">
        <f>'4. Isi Produksi Ikan'!AF4</f>
        <v>KAB. MURUNG RAYA Total</v>
      </c>
      <c r="M5" s="14" t="str">
        <f>'4. Isi Produksi Ikan'!AI4</f>
        <v>KAB. PULANG PISAU Total</v>
      </c>
      <c r="N5" s="14" t="str">
        <f>'4. Isi Produksi Ikan'!AL4</f>
        <v>KAB. SERUYAN Total</v>
      </c>
      <c r="O5" s="14" t="str">
        <f>'4. Isi Produksi Ikan'!AO4</f>
        <v>KAB. SUKAMARA Total</v>
      </c>
      <c r="P5" s="14" t="str">
        <f>'4. Isi Produksi Ikan'!AR4</f>
        <v>KOTA PALANGKARAYA Total</v>
      </c>
      <c r="Q5" s="29" t="s">
        <v>17</v>
      </c>
    </row>
    <row r="6" spans="1:17" x14ac:dyDescent="0.2">
      <c r="B6" s="14" t="s">
        <v>33</v>
      </c>
      <c r="C6" s="29">
        <f>'4. Isi Produksi Ikan'!E6</f>
        <v>0</v>
      </c>
      <c r="D6" s="29">
        <f>'4. Isi Produksi Ikan'!H6</f>
        <v>0</v>
      </c>
      <c r="E6" s="29">
        <f>'4. Isi Produksi Ikan'!K6</f>
        <v>0</v>
      </c>
      <c r="F6" s="29">
        <f>'4. Isi Produksi Ikan'!N6</f>
        <v>0</v>
      </c>
      <c r="G6" s="29">
        <f>'4. Isi Produksi Ikan'!Q6</f>
        <v>0</v>
      </c>
      <c r="H6" s="29">
        <f>'4. Isi Produksi Ikan'!T6</f>
        <v>0</v>
      </c>
      <c r="I6" s="29">
        <f>'4. Isi Produksi Ikan'!W6</f>
        <v>0</v>
      </c>
      <c r="J6" s="29">
        <f>'4. Isi Produksi Ikan'!Z6</f>
        <v>0</v>
      </c>
      <c r="K6" s="29">
        <f>'4. Isi Produksi Ikan'!AC6</f>
        <v>0</v>
      </c>
      <c r="L6" s="29">
        <f>'4. Isi Produksi Ikan'!AF6</f>
        <v>0</v>
      </c>
      <c r="M6" s="29">
        <f>'4. Isi Produksi Ikan'!AI6</f>
        <v>0</v>
      </c>
      <c r="N6" s="29">
        <f>'4. Isi Produksi Ikan'!AL6</f>
        <v>0</v>
      </c>
      <c r="O6" s="29">
        <f>'4. Isi Produksi Ikan'!AO6</f>
        <v>0</v>
      </c>
      <c r="P6" s="29">
        <f>'4. Isi Produksi Ikan'!AR6</f>
        <v>0</v>
      </c>
      <c r="Q6" s="29">
        <f>'4. Isi Produksi Ikan'!AS6</f>
        <v>0</v>
      </c>
    </row>
    <row r="7" spans="1:17" x14ac:dyDescent="0.2">
      <c r="B7" s="14" t="s">
        <v>36</v>
      </c>
      <c r="C7" s="29">
        <f>SUM(C9:C87)</f>
        <v>0</v>
      </c>
      <c r="D7" s="29">
        <f t="shared" ref="D7:Q7" si="0">SUM(D9:D87)</f>
        <v>0</v>
      </c>
      <c r="E7" s="29">
        <f t="shared" si="0"/>
        <v>0</v>
      </c>
      <c r="F7" s="29">
        <f t="shared" si="0"/>
        <v>0</v>
      </c>
      <c r="G7" s="29">
        <f t="shared" si="0"/>
        <v>0</v>
      </c>
      <c r="H7" s="29">
        <f t="shared" si="0"/>
        <v>0</v>
      </c>
      <c r="I7" s="29">
        <f t="shared" si="0"/>
        <v>0</v>
      </c>
      <c r="J7" s="29">
        <f t="shared" si="0"/>
        <v>0</v>
      </c>
      <c r="K7" s="29">
        <f t="shared" si="0"/>
        <v>0</v>
      </c>
      <c r="L7" s="29">
        <f t="shared" si="0"/>
        <v>0</v>
      </c>
      <c r="M7" s="29">
        <f t="shared" si="0"/>
        <v>0</v>
      </c>
      <c r="N7" s="29">
        <f t="shared" si="0"/>
        <v>0</v>
      </c>
      <c r="O7" s="29">
        <f t="shared" si="0"/>
        <v>0</v>
      </c>
      <c r="P7" s="29">
        <f t="shared" si="0"/>
        <v>0</v>
      </c>
      <c r="Q7" s="29">
        <f t="shared" si="0"/>
        <v>0</v>
      </c>
    </row>
    <row r="8" spans="1:17" x14ac:dyDescent="0.2">
      <c r="A8" s="14" t="s">
        <v>30</v>
      </c>
      <c r="B8" s="14" t="s">
        <v>22</v>
      </c>
      <c r="C8" s="14" t="str">
        <f t="shared" ref="C8:Q8" si="1">C5</f>
        <v>KAB. BARITO SELATAN Total</v>
      </c>
      <c r="D8" s="14" t="str">
        <f t="shared" si="1"/>
        <v>KAB. BARITO TIMUR Total</v>
      </c>
      <c r="E8" s="14" t="str">
        <f t="shared" si="1"/>
        <v>KAB. BARITO UTARA Total</v>
      </c>
      <c r="F8" s="14" t="str">
        <f t="shared" si="1"/>
        <v>KAB. GUNUNG MAS Total</v>
      </c>
      <c r="G8" s="14" t="str">
        <f t="shared" si="1"/>
        <v>KAB. KAPUAS Total</v>
      </c>
      <c r="H8" s="14" t="str">
        <f t="shared" si="1"/>
        <v>KAB. KATINGAN Total</v>
      </c>
      <c r="I8" s="14" t="str">
        <f t="shared" si="1"/>
        <v>KAB. KOTAWARINGIN BARAT Total</v>
      </c>
      <c r="J8" s="14" t="str">
        <f t="shared" si="1"/>
        <v>KAB. KOTAWARINGIN TIMUR Total</v>
      </c>
      <c r="K8" s="14" t="str">
        <f t="shared" si="1"/>
        <v>KAB. LAMANDAU Total</v>
      </c>
      <c r="L8" s="14" t="str">
        <f t="shared" si="1"/>
        <v>KAB. MURUNG RAYA Total</v>
      </c>
      <c r="M8" s="14" t="str">
        <f t="shared" si="1"/>
        <v>KAB. PULANG PISAU Total</v>
      </c>
      <c r="N8" s="14" t="str">
        <f t="shared" si="1"/>
        <v>KAB. SERUYAN Total</v>
      </c>
      <c r="O8" s="14" t="str">
        <f t="shared" si="1"/>
        <v>KAB. SUKAMARA Total</v>
      </c>
      <c r="P8" s="14" t="str">
        <f t="shared" si="1"/>
        <v>KOTA PALANGKARAYA Total</v>
      </c>
      <c r="Q8" s="14" t="str">
        <f t="shared" si="1"/>
        <v>Grand Total</v>
      </c>
    </row>
    <row r="9" spans="1:17" x14ac:dyDescent="0.2">
      <c r="A9" s="14" t="s">
        <v>31</v>
      </c>
      <c r="B9" s="14" t="s">
        <v>56</v>
      </c>
      <c r="C9" s="10">
        <f>'4. Isi Produksi Ikan'!E9</f>
        <v>0</v>
      </c>
      <c r="D9" s="10">
        <f>'4. Isi Produksi Ikan'!H9</f>
        <v>0</v>
      </c>
      <c r="E9" s="10">
        <f>'4. Isi Produksi Ikan'!K9</f>
        <v>0</v>
      </c>
      <c r="F9" s="10">
        <f>'4. Isi Produksi Ikan'!N9</f>
        <v>0</v>
      </c>
      <c r="G9" s="10">
        <f>'4. Isi Produksi Ikan'!Q9</f>
        <v>0</v>
      </c>
      <c r="H9" s="10">
        <f>'4. Isi Produksi Ikan'!T9</f>
        <v>0</v>
      </c>
      <c r="I9" s="10">
        <f>'4. Isi Produksi Ikan'!W9</f>
        <v>0</v>
      </c>
      <c r="J9" s="10">
        <f>'4. Isi Produksi Ikan'!Z9</f>
        <v>0</v>
      </c>
      <c r="K9" s="10">
        <f>'4. Isi Produksi Ikan'!AC9</f>
        <v>0</v>
      </c>
      <c r="L9" s="10">
        <f>'4. Isi Produksi Ikan'!AF9</f>
        <v>0</v>
      </c>
      <c r="M9" s="10">
        <f>'4. Isi Produksi Ikan'!AI9</f>
        <v>0</v>
      </c>
      <c r="N9" s="10">
        <f>'4. Isi Produksi Ikan'!AL9</f>
        <v>0</v>
      </c>
      <c r="O9" s="10">
        <f>'4. Isi Produksi Ikan'!AO9</f>
        <v>0</v>
      </c>
      <c r="P9" s="10">
        <f>'4. Isi Produksi Ikan'!AR9</f>
        <v>0</v>
      </c>
      <c r="Q9" s="29">
        <f t="shared" ref="Q9:Q40" si="2">SUM(C9:P9)</f>
        <v>0</v>
      </c>
    </row>
    <row r="10" spans="1:17" x14ac:dyDescent="0.2">
      <c r="A10" s="14" t="s">
        <v>31</v>
      </c>
      <c r="B10" s="14" t="s">
        <v>57</v>
      </c>
      <c r="C10" s="10">
        <f>'4. Isi Produksi Ikan'!E10</f>
        <v>0</v>
      </c>
      <c r="D10" s="10">
        <f>'4. Isi Produksi Ikan'!H10</f>
        <v>0</v>
      </c>
      <c r="E10" s="10">
        <f>'4. Isi Produksi Ikan'!K10</f>
        <v>0</v>
      </c>
      <c r="F10" s="10">
        <f>'4. Isi Produksi Ikan'!N10</f>
        <v>0</v>
      </c>
      <c r="G10" s="10">
        <f>'4. Isi Produksi Ikan'!Q10</f>
        <v>0</v>
      </c>
      <c r="H10" s="10">
        <f>'4. Isi Produksi Ikan'!T10</f>
        <v>0</v>
      </c>
      <c r="I10" s="10">
        <f>'4. Isi Produksi Ikan'!W10</f>
        <v>0</v>
      </c>
      <c r="J10" s="10">
        <f>'4. Isi Produksi Ikan'!Z10</f>
        <v>0</v>
      </c>
      <c r="K10" s="10">
        <f>'4. Isi Produksi Ikan'!AC10</f>
        <v>0</v>
      </c>
      <c r="L10" s="10">
        <f>'4. Isi Produksi Ikan'!AF10</f>
        <v>0</v>
      </c>
      <c r="M10" s="10">
        <f>'4. Isi Produksi Ikan'!AI10</f>
        <v>0</v>
      </c>
      <c r="N10" s="10">
        <f>'4. Isi Produksi Ikan'!AL10</f>
        <v>0</v>
      </c>
      <c r="O10" s="10">
        <f>'4. Isi Produksi Ikan'!AO10</f>
        <v>0</v>
      </c>
      <c r="P10" s="10">
        <f>'4. Isi Produksi Ikan'!AR10</f>
        <v>0</v>
      </c>
      <c r="Q10" s="29">
        <f t="shared" si="2"/>
        <v>0</v>
      </c>
    </row>
    <row r="11" spans="1:17" x14ac:dyDescent="0.2">
      <c r="A11" s="14" t="s">
        <v>31</v>
      </c>
      <c r="B11" s="14" t="s">
        <v>58</v>
      </c>
      <c r="C11" s="10">
        <f>'4. Isi Produksi Ikan'!E11</f>
        <v>0</v>
      </c>
      <c r="D11" s="10">
        <f>'4. Isi Produksi Ikan'!H11</f>
        <v>0</v>
      </c>
      <c r="E11" s="10">
        <f>'4. Isi Produksi Ikan'!K11</f>
        <v>0</v>
      </c>
      <c r="F11" s="10">
        <f>'4. Isi Produksi Ikan'!N11</f>
        <v>0</v>
      </c>
      <c r="G11" s="10">
        <f>'4. Isi Produksi Ikan'!Q11</f>
        <v>0</v>
      </c>
      <c r="H11" s="10">
        <f>'4. Isi Produksi Ikan'!T11</f>
        <v>0</v>
      </c>
      <c r="I11" s="10">
        <f>'4. Isi Produksi Ikan'!W11</f>
        <v>0</v>
      </c>
      <c r="J11" s="10">
        <f>'4. Isi Produksi Ikan'!Z11</f>
        <v>0</v>
      </c>
      <c r="K11" s="10">
        <f>'4. Isi Produksi Ikan'!AC11</f>
        <v>0</v>
      </c>
      <c r="L11" s="10">
        <f>'4. Isi Produksi Ikan'!AF11</f>
        <v>0</v>
      </c>
      <c r="M11" s="10">
        <f>'4. Isi Produksi Ikan'!AI11</f>
        <v>0</v>
      </c>
      <c r="N11" s="10">
        <f>'4. Isi Produksi Ikan'!AL11</f>
        <v>0</v>
      </c>
      <c r="O11" s="10">
        <f>'4. Isi Produksi Ikan'!AO11</f>
        <v>0</v>
      </c>
      <c r="P11" s="10">
        <f>'4. Isi Produksi Ikan'!AR11</f>
        <v>0</v>
      </c>
      <c r="Q11" s="29">
        <f t="shared" si="2"/>
        <v>0</v>
      </c>
    </row>
    <row r="12" spans="1:17" x14ac:dyDescent="0.2">
      <c r="A12" s="14" t="s">
        <v>31</v>
      </c>
      <c r="B12" s="14" t="s">
        <v>59</v>
      </c>
      <c r="C12" s="10">
        <f>'4. Isi Produksi Ikan'!E12</f>
        <v>0</v>
      </c>
      <c r="D12" s="10">
        <f>'4. Isi Produksi Ikan'!H12</f>
        <v>0</v>
      </c>
      <c r="E12" s="10">
        <f>'4. Isi Produksi Ikan'!K12</f>
        <v>0</v>
      </c>
      <c r="F12" s="10">
        <f>'4. Isi Produksi Ikan'!N12</f>
        <v>0</v>
      </c>
      <c r="G12" s="10">
        <f>'4. Isi Produksi Ikan'!Q12</f>
        <v>0</v>
      </c>
      <c r="H12" s="10">
        <f>'4. Isi Produksi Ikan'!T12</f>
        <v>0</v>
      </c>
      <c r="I12" s="10">
        <f>'4. Isi Produksi Ikan'!W12</f>
        <v>0</v>
      </c>
      <c r="J12" s="10">
        <f>'4. Isi Produksi Ikan'!Z12</f>
        <v>0</v>
      </c>
      <c r="K12" s="10">
        <f>'4. Isi Produksi Ikan'!AC12</f>
        <v>0</v>
      </c>
      <c r="L12" s="10">
        <f>'4. Isi Produksi Ikan'!AF12</f>
        <v>0</v>
      </c>
      <c r="M12" s="10">
        <f>'4. Isi Produksi Ikan'!AI12</f>
        <v>0</v>
      </c>
      <c r="N12" s="10">
        <f>'4. Isi Produksi Ikan'!AL12</f>
        <v>0</v>
      </c>
      <c r="O12" s="10">
        <f>'4. Isi Produksi Ikan'!AO12</f>
        <v>0</v>
      </c>
      <c r="P12" s="10">
        <f>'4. Isi Produksi Ikan'!AR12</f>
        <v>0</v>
      </c>
      <c r="Q12" s="29">
        <f t="shared" si="2"/>
        <v>0</v>
      </c>
    </row>
    <row r="13" spans="1:17" x14ac:dyDescent="0.2">
      <c r="A13" s="14" t="s">
        <v>31</v>
      </c>
      <c r="B13" s="14" t="s">
        <v>60</v>
      </c>
      <c r="C13" s="10">
        <f>'4. Isi Produksi Ikan'!E13</f>
        <v>0</v>
      </c>
      <c r="D13" s="10">
        <f>'4. Isi Produksi Ikan'!H13</f>
        <v>0</v>
      </c>
      <c r="E13" s="10">
        <f>'4. Isi Produksi Ikan'!K13</f>
        <v>0</v>
      </c>
      <c r="F13" s="10">
        <f>'4. Isi Produksi Ikan'!N13</f>
        <v>0</v>
      </c>
      <c r="G13" s="10">
        <f>'4. Isi Produksi Ikan'!Q13</f>
        <v>0</v>
      </c>
      <c r="H13" s="10">
        <f>'4. Isi Produksi Ikan'!T13</f>
        <v>0</v>
      </c>
      <c r="I13" s="10">
        <f>'4. Isi Produksi Ikan'!W13</f>
        <v>0</v>
      </c>
      <c r="J13" s="10">
        <f>'4. Isi Produksi Ikan'!Z13</f>
        <v>0</v>
      </c>
      <c r="K13" s="10">
        <f>'4. Isi Produksi Ikan'!AC13</f>
        <v>0</v>
      </c>
      <c r="L13" s="10">
        <f>'4. Isi Produksi Ikan'!AF13</f>
        <v>0</v>
      </c>
      <c r="M13" s="10">
        <f>'4. Isi Produksi Ikan'!AI13</f>
        <v>0</v>
      </c>
      <c r="N13" s="10">
        <f>'4. Isi Produksi Ikan'!AL13</f>
        <v>0</v>
      </c>
      <c r="O13" s="10">
        <f>'4. Isi Produksi Ikan'!AO13</f>
        <v>0</v>
      </c>
      <c r="P13" s="10">
        <f>'4. Isi Produksi Ikan'!AR13</f>
        <v>0</v>
      </c>
      <c r="Q13" s="29">
        <f t="shared" si="2"/>
        <v>0</v>
      </c>
    </row>
    <row r="14" spans="1:17" x14ac:dyDescent="0.2">
      <c r="A14" s="14" t="s">
        <v>31</v>
      </c>
      <c r="B14" s="14" t="s">
        <v>37</v>
      </c>
      <c r="C14" s="10">
        <f>'4. Isi Produksi Ikan'!E14</f>
        <v>0</v>
      </c>
      <c r="D14" s="10">
        <f>'4. Isi Produksi Ikan'!H14</f>
        <v>0</v>
      </c>
      <c r="E14" s="10">
        <f>'4. Isi Produksi Ikan'!K14</f>
        <v>0</v>
      </c>
      <c r="F14" s="10">
        <f>'4. Isi Produksi Ikan'!N14</f>
        <v>0</v>
      </c>
      <c r="G14" s="10">
        <f>'4. Isi Produksi Ikan'!Q14</f>
        <v>0</v>
      </c>
      <c r="H14" s="10">
        <f>'4. Isi Produksi Ikan'!T14</f>
        <v>0</v>
      </c>
      <c r="I14" s="10">
        <f>'4. Isi Produksi Ikan'!W14</f>
        <v>0</v>
      </c>
      <c r="J14" s="10">
        <f>'4. Isi Produksi Ikan'!Z14</f>
        <v>0</v>
      </c>
      <c r="K14" s="10">
        <f>'4. Isi Produksi Ikan'!AC14</f>
        <v>0</v>
      </c>
      <c r="L14" s="10">
        <f>'4. Isi Produksi Ikan'!AF14</f>
        <v>0</v>
      </c>
      <c r="M14" s="10">
        <f>'4. Isi Produksi Ikan'!AI14</f>
        <v>0</v>
      </c>
      <c r="N14" s="10">
        <f>'4. Isi Produksi Ikan'!AL14</f>
        <v>0</v>
      </c>
      <c r="O14" s="10">
        <f>'4. Isi Produksi Ikan'!AO14</f>
        <v>0</v>
      </c>
      <c r="P14" s="10">
        <f>'4. Isi Produksi Ikan'!AR14</f>
        <v>0</v>
      </c>
      <c r="Q14" s="29">
        <f t="shared" si="2"/>
        <v>0</v>
      </c>
    </row>
    <row r="15" spans="1:17" x14ac:dyDescent="0.2">
      <c r="A15" s="14" t="s">
        <v>31</v>
      </c>
      <c r="B15" s="14" t="s">
        <v>38</v>
      </c>
      <c r="C15" s="10">
        <f>'4. Isi Produksi Ikan'!E15</f>
        <v>0</v>
      </c>
      <c r="D15" s="10">
        <f>'4. Isi Produksi Ikan'!H15</f>
        <v>0</v>
      </c>
      <c r="E15" s="10">
        <f>'4. Isi Produksi Ikan'!K15</f>
        <v>0</v>
      </c>
      <c r="F15" s="10">
        <f>'4. Isi Produksi Ikan'!N15</f>
        <v>0</v>
      </c>
      <c r="G15" s="10">
        <f>'4. Isi Produksi Ikan'!Q15</f>
        <v>0</v>
      </c>
      <c r="H15" s="10">
        <f>'4. Isi Produksi Ikan'!T15</f>
        <v>0</v>
      </c>
      <c r="I15" s="10">
        <f>'4. Isi Produksi Ikan'!W15</f>
        <v>0</v>
      </c>
      <c r="J15" s="10">
        <f>'4. Isi Produksi Ikan'!Z15</f>
        <v>0</v>
      </c>
      <c r="K15" s="10">
        <f>'4. Isi Produksi Ikan'!AC15</f>
        <v>0</v>
      </c>
      <c r="L15" s="10">
        <f>'4. Isi Produksi Ikan'!AF15</f>
        <v>0</v>
      </c>
      <c r="M15" s="10">
        <f>'4. Isi Produksi Ikan'!AI15</f>
        <v>0</v>
      </c>
      <c r="N15" s="10">
        <f>'4. Isi Produksi Ikan'!AL15</f>
        <v>0</v>
      </c>
      <c r="O15" s="10">
        <f>'4. Isi Produksi Ikan'!AO15</f>
        <v>0</v>
      </c>
      <c r="P15" s="10">
        <f>'4. Isi Produksi Ikan'!AR15</f>
        <v>0</v>
      </c>
      <c r="Q15" s="29">
        <f t="shared" si="2"/>
        <v>0</v>
      </c>
    </row>
    <row r="16" spans="1:17" x14ac:dyDescent="0.2">
      <c r="A16" s="14" t="s">
        <v>31</v>
      </c>
      <c r="B16" s="14" t="s">
        <v>39</v>
      </c>
      <c r="C16" s="10">
        <f>'4. Isi Produksi Ikan'!E16</f>
        <v>0</v>
      </c>
      <c r="D16" s="10">
        <f>'4. Isi Produksi Ikan'!H16</f>
        <v>0</v>
      </c>
      <c r="E16" s="10">
        <f>'4. Isi Produksi Ikan'!K16</f>
        <v>0</v>
      </c>
      <c r="F16" s="10">
        <f>'4. Isi Produksi Ikan'!N16</f>
        <v>0</v>
      </c>
      <c r="G16" s="10">
        <f>'4. Isi Produksi Ikan'!Q16</f>
        <v>0</v>
      </c>
      <c r="H16" s="10">
        <f>'4. Isi Produksi Ikan'!T16</f>
        <v>0</v>
      </c>
      <c r="I16" s="10">
        <f>'4. Isi Produksi Ikan'!W16</f>
        <v>0</v>
      </c>
      <c r="J16" s="10">
        <f>'4. Isi Produksi Ikan'!Z16</f>
        <v>0</v>
      </c>
      <c r="K16" s="10">
        <f>'4. Isi Produksi Ikan'!AC16</f>
        <v>0</v>
      </c>
      <c r="L16" s="10">
        <f>'4. Isi Produksi Ikan'!AF16</f>
        <v>0</v>
      </c>
      <c r="M16" s="10">
        <f>'4. Isi Produksi Ikan'!AI16</f>
        <v>0</v>
      </c>
      <c r="N16" s="10">
        <f>'4. Isi Produksi Ikan'!AL16</f>
        <v>0</v>
      </c>
      <c r="O16" s="10">
        <f>'4. Isi Produksi Ikan'!AO16</f>
        <v>0</v>
      </c>
      <c r="P16" s="10">
        <f>'4. Isi Produksi Ikan'!AR16</f>
        <v>0</v>
      </c>
      <c r="Q16" s="29">
        <f t="shared" si="2"/>
        <v>0</v>
      </c>
    </row>
    <row r="17" spans="1:17" x14ac:dyDescent="0.2">
      <c r="A17" s="14" t="s">
        <v>31</v>
      </c>
      <c r="B17" s="14" t="s">
        <v>61</v>
      </c>
      <c r="C17" s="10">
        <f>'4. Isi Produksi Ikan'!E17</f>
        <v>0</v>
      </c>
      <c r="D17" s="10">
        <f>'4. Isi Produksi Ikan'!H17</f>
        <v>0</v>
      </c>
      <c r="E17" s="10">
        <f>'4. Isi Produksi Ikan'!K17</f>
        <v>0</v>
      </c>
      <c r="F17" s="10">
        <f>'4. Isi Produksi Ikan'!N17</f>
        <v>0</v>
      </c>
      <c r="G17" s="10">
        <f>'4. Isi Produksi Ikan'!Q17</f>
        <v>0</v>
      </c>
      <c r="H17" s="10">
        <f>'4. Isi Produksi Ikan'!T17</f>
        <v>0</v>
      </c>
      <c r="I17" s="10">
        <f>'4. Isi Produksi Ikan'!W17</f>
        <v>0</v>
      </c>
      <c r="J17" s="10">
        <f>'4. Isi Produksi Ikan'!Z17</f>
        <v>0</v>
      </c>
      <c r="K17" s="10">
        <f>'4. Isi Produksi Ikan'!AC17</f>
        <v>0</v>
      </c>
      <c r="L17" s="10">
        <f>'4. Isi Produksi Ikan'!AF17</f>
        <v>0</v>
      </c>
      <c r="M17" s="10">
        <f>'4. Isi Produksi Ikan'!AI17</f>
        <v>0</v>
      </c>
      <c r="N17" s="10">
        <f>'4. Isi Produksi Ikan'!AL17</f>
        <v>0</v>
      </c>
      <c r="O17" s="10">
        <f>'4. Isi Produksi Ikan'!AO17</f>
        <v>0</v>
      </c>
      <c r="P17" s="10">
        <f>'4. Isi Produksi Ikan'!AR17</f>
        <v>0</v>
      </c>
      <c r="Q17" s="29">
        <f t="shared" si="2"/>
        <v>0</v>
      </c>
    </row>
    <row r="18" spans="1:17" x14ac:dyDescent="0.2">
      <c r="A18" s="14" t="s">
        <v>31</v>
      </c>
      <c r="B18" s="14" t="s">
        <v>24</v>
      </c>
      <c r="C18" s="10">
        <f>'4. Isi Produksi Ikan'!E18</f>
        <v>0</v>
      </c>
      <c r="D18" s="10">
        <f>'4. Isi Produksi Ikan'!H18</f>
        <v>0</v>
      </c>
      <c r="E18" s="10">
        <f>'4. Isi Produksi Ikan'!K18</f>
        <v>0</v>
      </c>
      <c r="F18" s="10">
        <f>'4. Isi Produksi Ikan'!N18</f>
        <v>0</v>
      </c>
      <c r="G18" s="10">
        <f>'4. Isi Produksi Ikan'!Q18</f>
        <v>0</v>
      </c>
      <c r="H18" s="10">
        <f>'4. Isi Produksi Ikan'!T18</f>
        <v>0</v>
      </c>
      <c r="I18" s="10">
        <f>'4. Isi Produksi Ikan'!W18</f>
        <v>0</v>
      </c>
      <c r="J18" s="10">
        <f>'4. Isi Produksi Ikan'!Z18</f>
        <v>0</v>
      </c>
      <c r="K18" s="10">
        <f>'4. Isi Produksi Ikan'!AC18</f>
        <v>0</v>
      </c>
      <c r="L18" s="10">
        <f>'4. Isi Produksi Ikan'!AF18</f>
        <v>0</v>
      </c>
      <c r="M18" s="10">
        <f>'4. Isi Produksi Ikan'!AI18</f>
        <v>0</v>
      </c>
      <c r="N18" s="10">
        <f>'4. Isi Produksi Ikan'!AL18</f>
        <v>0</v>
      </c>
      <c r="O18" s="10">
        <f>'4. Isi Produksi Ikan'!AO18</f>
        <v>0</v>
      </c>
      <c r="P18" s="10">
        <f>'4. Isi Produksi Ikan'!AR18</f>
        <v>0</v>
      </c>
      <c r="Q18" s="29">
        <f t="shared" si="2"/>
        <v>0</v>
      </c>
    </row>
    <row r="19" spans="1:17" x14ac:dyDescent="0.2">
      <c r="A19" s="14" t="s">
        <v>31</v>
      </c>
      <c r="B19" s="14" t="s">
        <v>62</v>
      </c>
      <c r="C19" s="10">
        <f>'4. Isi Produksi Ikan'!E19</f>
        <v>0</v>
      </c>
      <c r="D19" s="10">
        <f>'4. Isi Produksi Ikan'!H19</f>
        <v>0</v>
      </c>
      <c r="E19" s="10">
        <f>'4. Isi Produksi Ikan'!K19</f>
        <v>0</v>
      </c>
      <c r="F19" s="10">
        <f>'4. Isi Produksi Ikan'!N19</f>
        <v>0</v>
      </c>
      <c r="G19" s="10">
        <f>'4. Isi Produksi Ikan'!Q19</f>
        <v>0</v>
      </c>
      <c r="H19" s="10">
        <f>'4. Isi Produksi Ikan'!T19</f>
        <v>0</v>
      </c>
      <c r="I19" s="10">
        <f>'4. Isi Produksi Ikan'!W19</f>
        <v>0</v>
      </c>
      <c r="J19" s="10">
        <f>'4. Isi Produksi Ikan'!Z19</f>
        <v>0</v>
      </c>
      <c r="K19" s="10">
        <f>'4. Isi Produksi Ikan'!AC19</f>
        <v>0</v>
      </c>
      <c r="L19" s="10">
        <f>'4. Isi Produksi Ikan'!AF19</f>
        <v>0</v>
      </c>
      <c r="M19" s="10">
        <f>'4. Isi Produksi Ikan'!AI19</f>
        <v>0</v>
      </c>
      <c r="N19" s="10">
        <f>'4. Isi Produksi Ikan'!AL19</f>
        <v>0</v>
      </c>
      <c r="O19" s="10">
        <f>'4. Isi Produksi Ikan'!AO19</f>
        <v>0</v>
      </c>
      <c r="P19" s="10">
        <f>'4. Isi Produksi Ikan'!AR19</f>
        <v>0</v>
      </c>
      <c r="Q19" s="29">
        <f t="shared" si="2"/>
        <v>0</v>
      </c>
    </row>
    <row r="20" spans="1:17" x14ac:dyDescent="0.2">
      <c r="A20" s="14" t="s">
        <v>31</v>
      </c>
      <c r="B20" s="14" t="s">
        <v>63</v>
      </c>
      <c r="C20" s="10">
        <f>'4. Isi Produksi Ikan'!E20</f>
        <v>0</v>
      </c>
      <c r="D20" s="10">
        <f>'4. Isi Produksi Ikan'!H20</f>
        <v>0</v>
      </c>
      <c r="E20" s="10">
        <f>'4. Isi Produksi Ikan'!K20</f>
        <v>0</v>
      </c>
      <c r="F20" s="10">
        <f>'4. Isi Produksi Ikan'!N20</f>
        <v>0</v>
      </c>
      <c r="G20" s="10">
        <f>'4. Isi Produksi Ikan'!Q20</f>
        <v>0</v>
      </c>
      <c r="H20" s="10">
        <f>'4. Isi Produksi Ikan'!T20</f>
        <v>0</v>
      </c>
      <c r="I20" s="10">
        <f>'4. Isi Produksi Ikan'!W20</f>
        <v>0</v>
      </c>
      <c r="J20" s="10">
        <f>'4. Isi Produksi Ikan'!Z20</f>
        <v>0</v>
      </c>
      <c r="K20" s="10">
        <f>'4. Isi Produksi Ikan'!AC20</f>
        <v>0</v>
      </c>
      <c r="L20" s="10">
        <f>'4. Isi Produksi Ikan'!AF20</f>
        <v>0</v>
      </c>
      <c r="M20" s="10">
        <f>'4. Isi Produksi Ikan'!AI20</f>
        <v>0</v>
      </c>
      <c r="N20" s="10">
        <f>'4. Isi Produksi Ikan'!AL20</f>
        <v>0</v>
      </c>
      <c r="O20" s="10">
        <f>'4. Isi Produksi Ikan'!AO20</f>
        <v>0</v>
      </c>
      <c r="P20" s="10">
        <f>'4. Isi Produksi Ikan'!AR20</f>
        <v>0</v>
      </c>
      <c r="Q20" s="29">
        <f t="shared" si="2"/>
        <v>0</v>
      </c>
    </row>
    <row r="21" spans="1:17" x14ac:dyDescent="0.2">
      <c r="A21" s="14" t="s">
        <v>31</v>
      </c>
      <c r="B21" s="14" t="s">
        <v>64</v>
      </c>
      <c r="C21" s="10">
        <f>'4. Isi Produksi Ikan'!E21</f>
        <v>0</v>
      </c>
      <c r="D21" s="10">
        <f>'4. Isi Produksi Ikan'!H21</f>
        <v>0</v>
      </c>
      <c r="E21" s="10">
        <f>'4. Isi Produksi Ikan'!K21</f>
        <v>0</v>
      </c>
      <c r="F21" s="10">
        <f>'4. Isi Produksi Ikan'!N21</f>
        <v>0</v>
      </c>
      <c r="G21" s="10">
        <f>'4. Isi Produksi Ikan'!Q21</f>
        <v>0</v>
      </c>
      <c r="H21" s="10">
        <f>'4. Isi Produksi Ikan'!T21</f>
        <v>0</v>
      </c>
      <c r="I21" s="10">
        <f>'4. Isi Produksi Ikan'!W21</f>
        <v>0</v>
      </c>
      <c r="J21" s="10">
        <f>'4. Isi Produksi Ikan'!Z21</f>
        <v>0</v>
      </c>
      <c r="K21" s="10">
        <f>'4. Isi Produksi Ikan'!AC21</f>
        <v>0</v>
      </c>
      <c r="L21" s="10">
        <f>'4. Isi Produksi Ikan'!AF21</f>
        <v>0</v>
      </c>
      <c r="M21" s="10">
        <f>'4. Isi Produksi Ikan'!AI21</f>
        <v>0</v>
      </c>
      <c r="N21" s="10">
        <f>'4. Isi Produksi Ikan'!AL21</f>
        <v>0</v>
      </c>
      <c r="O21" s="10">
        <f>'4. Isi Produksi Ikan'!AO21</f>
        <v>0</v>
      </c>
      <c r="P21" s="10">
        <f>'4. Isi Produksi Ikan'!AR21</f>
        <v>0</v>
      </c>
      <c r="Q21" s="29">
        <f t="shared" si="2"/>
        <v>0</v>
      </c>
    </row>
    <row r="22" spans="1:17" x14ac:dyDescent="0.2">
      <c r="A22" s="14" t="s">
        <v>31</v>
      </c>
      <c r="B22" s="14" t="s">
        <v>65</v>
      </c>
      <c r="C22" s="10">
        <f>'4. Isi Produksi Ikan'!E22</f>
        <v>0</v>
      </c>
      <c r="D22" s="10">
        <f>'4. Isi Produksi Ikan'!H22</f>
        <v>0</v>
      </c>
      <c r="E22" s="10">
        <f>'4. Isi Produksi Ikan'!K22</f>
        <v>0</v>
      </c>
      <c r="F22" s="10">
        <f>'4. Isi Produksi Ikan'!N22</f>
        <v>0</v>
      </c>
      <c r="G22" s="10">
        <f>'4. Isi Produksi Ikan'!Q22</f>
        <v>0</v>
      </c>
      <c r="H22" s="10">
        <f>'4. Isi Produksi Ikan'!T22</f>
        <v>0</v>
      </c>
      <c r="I22" s="10">
        <f>'4. Isi Produksi Ikan'!W22</f>
        <v>0</v>
      </c>
      <c r="J22" s="10">
        <f>'4. Isi Produksi Ikan'!Z22</f>
        <v>0</v>
      </c>
      <c r="K22" s="10">
        <f>'4. Isi Produksi Ikan'!AC22</f>
        <v>0</v>
      </c>
      <c r="L22" s="10">
        <f>'4. Isi Produksi Ikan'!AF22</f>
        <v>0</v>
      </c>
      <c r="M22" s="10">
        <f>'4. Isi Produksi Ikan'!AI22</f>
        <v>0</v>
      </c>
      <c r="N22" s="10">
        <f>'4. Isi Produksi Ikan'!AL22</f>
        <v>0</v>
      </c>
      <c r="O22" s="10">
        <f>'4. Isi Produksi Ikan'!AO22</f>
        <v>0</v>
      </c>
      <c r="P22" s="10">
        <f>'4. Isi Produksi Ikan'!AR22</f>
        <v>0</v>
      </c>
      <c r="Q22" s="29">
        <f t="shared" si="2"/>
        <v>0</v>
      </c>
    </row>
    <row r="23" spans="1:17" x14ac:dyDescent="0.2">
      <c r="A23" s="14" t="s">
        <v>31</v>
      </c>
      <c r="B23" s="14" t="s">
        <v>66</v>
      </c>
      <c r="C23" s="10">
        <f>'4. Isi Produksi Ikan'!E23</f>
        <v>0</v>
      </c>
      <c r="D23" s="10">
        <f>'4. Isi Produksi Ikan'!H23</f>
        <v>0</v>
      </c>
      <c r="E23" s="10">
        <f>'4. Isi Produksi Ikan'!K23</f>
        <v>0</v>
      </c>
      <c r="F23" s="10">
        <f>'4. Isi Produksi Ikan'!N23</f>
        <v>0</v>
      </c>
      <c r="G23" s="10">
        <f>'4. Isi Produksi Ikan'!Q23</f>
        <v>0</v>
      </c>
      <c r="H23" s="10">
        <f>'4. Isi Produksi Ikan'!T23</f>
        <v>0</v>
      </c>
      <c r="I23" s="10">
        <f>'4. Isi Produksi Ikan'!W23</f>
        <v>0</v>
      </c>
      <c r="J23" s="10">
        <f>'4. Isi Produksi Ikan'!Z23</f>
        <v>0</v>
      </c>
      <c r="K23" s="10">
        <f>'4. Isi Produksi Ikan'!AC23</f>
        <v>0</v>
      </c>
      <c r="L23" s="10">
        <f>'4. Isi Produksi Ikan'!AF23</f>
        <v>0</v>
      </c>
      <c r="M23" s="10">
        <f>'4. Isi Produksi Ikan'!AI23</f>
        <v>0</v>
      </c>
      <c r="N23" s="10">
        <f>'4. Isi Produksi Ikan'!AL23</f>
        <v>0</v>
      </c>
      <c r="O23" s="10">
        <f>'4. Isi Produksi Ikan'!AO23</f>
        <v>0</v>
      </c>
      <c r="P23" s="10">
        <f>'4. Isi Produksi Ikan'!AR23</f>
        <v>0</v>
      </c>
      <c r="Q23" s="29">
        <f t="shared" si="2"/>
        <v>0</v>
      </c>
    </row>
    <row r="24" spans="1:17" x14ac:dyDescent="0.2">
      <c r="A24" s="14" t="s">
        <v>31</v>
      </c>
      <c r="B24" s="14" t="s">
        <v>67</v>
      </c>
      <c r="C24" s="10">
        <f>'4. Isi Produksi Ikan'!E24</f>
        <v>0</v>
      </c>
      <c r="D24" s="10">
        <f>'4. Isi Produksi Ikan'!H24</f>
        <v>0</v>
      </c>
      <c r="E24" s="10">
        <f>'4. Isi Produksi Ikan'!K24</f>
        <v>0</v>
      </c>
      <c r="F24" s="10">
        <f>'4. Isi Produksi Ikan'!N24</f>
        <v>0</v>
      </c>
      <c r="G24" s="10">
        <f>'4. Isi Produksi Ikan'!Q24</f>
        <v>0</v>
      </c>
      <c r="H24" s="10">
        <f>'4. Isi Produksi Ikan'!T24</f>
        <v>0</v>
      </c>
      <c r="I24" s="10">
        <f>'4. Isi Produksi Ikan'!W24</f>
        <v>0</v>
      </c>
      <c r="J24" s="10">
        <f>'4. Isi Produksi Ikan'!Z24</f>
        <v>0</v>
      </c>
      <c r="K24" s="10">
        <f>'4. Isi Produksi Ikan'!AC24</f>
        <v>0</v>
      </c>
      <c r="L24" s="10">
        <f>'4. Isi Produksi Ikan'!AF24</f>
        <v>0</v>
      </c>
      <c r="M24" s="10">
        <f>'4. Isi Produksi Ikan'!AI24</f>
        <v>0</v>
      </c>
      <c r="N24" s="10">
        <f>'4. Isi Produksi Ikan'!AL24</f>
        <v>0</v>
      </c>
      <c r="O24" s="10">
        <f>'4. Isi Produksi Ikan'!AO24</f>
        <v>0</v>
      </c>
      <c r="P24" s="10">
        <f>'4. Isi Produksi Ikan'!AR24</f>
        <v>0</v>
      </c>
      <c r="Q24" s="29">
        <f t="shared" si="2"/>
        <v>0</v>
      </c>
    </row>
    <row r="25" spans="1:17" x14ac:dyDescent="0.2">
      <c r="A25" s="14" t="s">
        <v>31</v>
      </c>
      <c r="B25" s="14" t="s">
        <v>68</v>
      </c>
      <c r="C25" s="10">
        <f>'4. Isi Produksi Ikan'!E25</f>
        <v>0</v>
      </c>
      <c r="D25" s="10">
        <f>'4. Isi Produksi Ikan'!H25</f>
        <v>0</v>
      </c>
      <c r="E25" s="10">
        <f>'4. Isi Produksi Ikan'!K25</f>
        <v>0</v>
      </c>
      <c r="F25" s="10">
        <f>'4. Isi Produksi Ikan'!N25</f>
        <v>0</v>
      </c>
      <c r="G25" s="10">
        <f>'4. Isi Produksi Ikan'!Q25</f>
        <v>0</v>
      </c>
      <c r="H25" s="10">
        <f>'4. Isi Produksi Ikan'!T25</f>
        <v>0</v>
      </c>
      <c r="I25" s="10">
        <f>'4. Isi Produksi Ikan'!W25</f>
        <v>0</v>
      </c>
      <c r="J25" s="10">
        <f>'4. Isi Produksi Ikan'!Z25</f>
        <v>0</v>
      </c>
      <c r="K25" s="10">
        <f>'4. Isi Produksi Ikan'!AC25</f>
        <v>0</v>
      </c>
      <c r="L25" s="10">
        <f>'4. Isi Produksi Ikan'!AF25</f>
        <v>0</v>
      </c>
      <c r="M25" s="10">
        <f>'4. Isi Produksi Ikan'!AI25</f>
        <v>0</v>
      </c>
      <c r="N25" s="10">
        <f>'4. Isi Produksi Ikan'!AL25</f>
        <v>0</v>
      </c>
      <c r="O25" s="10">
        <f>'4. Isi Produksi Ikan'!AO25</f>
        <v>0</v>
      </c>
      <c r="P25" s="10">
        <f>'4. Isi Produksi Ikan'!AR25</f>
        <v>0</v>
      </c>
      <c r="Q25" s="29">
        <f t="shared" si="2"/>
        <v>0</v>
      </c>
    </row>
    <row r="26" spans="1:17" x14ac:dyDescent="0.2">
      <c r="A26" s="14" t="s">
        <v>31</v>
      </c>
      <c r="B26" s="14" t="s">
        <v>69</v>
      </c>
      <c r="C26" s="10">
        <f>'4. Isi Produksi Ikan'!E26</f>
        <v>0</v>
      </c>
      <c r="D26" s="10">
        <f>'4. Isi Produksi Ikan'!H26</f>
        <v>0</v>
      </c>
      <c r="E26" s="10">
        <f>'4. Isi Produksi Ikan'!K26</f>
        <v>0</v>
      </c>
      <c r="F26" s="10">
        <f>'4. Isi Produksi Ikan'!N26</f>
        <v>0</v>
      </c>
      <c r="G26" s="10">
        <f>'4. Isi Produksi Ikan'!Q26</f>
        <v>0</v>
      </c>
      <c r="H26" s="10">
        <f>'4. Isi Produksi Ikan'!T26</f>
        <v>0</v>
      </c>
      <c r="I26" s="10">
        <f>'4. Isi Produksi Ikan'!W26</f>
        <v>0</v>
      </c>
      <c r="J26" s="10">
        <f>'4. Isi Produksi Ikan'!Z26</f>
        <v>0</v>
      </c>
      <c r="K26" s="10">
        <f>'4. Isi Produksi Ikan'!AC26</f>
        <v>0</v>
      </c>
      <c r="L26" s="10">
        <f>'4. Isi Produksi Ikan'!AF26</f>
        <v>0</v>
      </c>
      <c r="M26" s="10">
        <f>'4. Isi Produksi Ikan'!AI26</f>
        <v>0</v>
      </c>
      <c r="N26" s="10">
        <f>'4. Isi Produksi Ikan'!AL26</f>
        <v>0</v>
      </c>
      <c r="O26" s="10">
        <f>'4. Isi Produksi Ikan'!AO26</f>
        <v>0</v>
      </c>
      <c r="P26" s="10">
        <f>'4. Isi Produksi Ikan'!AR26</f>
        <v>0</v>
      </c>
      <c r="Q26" s="29">
        <f t="shared" si="2"/>
        <v>0</v>
      </c>
    </row>
    <row r="27" spans="1:17" x14ac:dyDescent="0.2">
      <c r="A27" s="14" t="s">
        <v>31</v>
      </c>
      <c r="B27" s="14" t="s">
        <v>70</v>
      </c>
      <c r="C27" s="10">
        <f>'4. Isi Produksi Ikan'!E27</f>
        <v>0</v>
      </c>
      <c r="D27" s="10">
        <f>'4. Isi Produksi Ikan'!H27</f>
        <v>0</v>
      </c>
      <c r="E27" s="10">
        <f>'4. Isi Produksi Ikan'!K27</f>
        <v>0</v>
      </c>
      <c r="F27" s="10">
        <f>'4. Isi Produksi Ikan'!N27</f>
        <v>0</v>
      </c>
      <c r="G27" s="10">
        <f>'4. Isi Produksi Ikan'!Q27</f>
        <v>0</v>
      </c>
      <c r="H27" s="10">
        <f>'4. Isi Produksi Ikan'!T27</f>
        <v>0</v>
      </c>
      <c r="I27" s="10">
        <f>'4. Isi Produksi Ikan'!W27</f>
        <v>0</v>
      </c>
      <c r="J27" s="10">
        <f>'4. Isi Produksi Ikan'!Z27</f>
        <v>0</v>
      </c>
      <c r="K27" s="10">
        <f>'4. Isi Produksi Ikan'!AC27</f>
        <v>0</v>
      </c>
      <c r="L27" s="10">
        <f>'4. Isi Produksi Ikan'!AF27</f>
        <v>0</v>
      </c>
      <c r="M27" s="10">
        <f>'4. Isi Produksi Ikan'!AI27</f>
        <v>0</v>
      </c>
      <c r="N27" s="10">
        <f>'4. Isi Produksi Ikan'!AL27</f>
        <v>0</v>
      </c>
      <c r="O27" s="10">
        <f>'4. Isi Produksi Ikan'!AO27</f>
        <v>0</v>
      </c>
      <c r="P27" s="10">
        <f>'4. Isi Produksi Ikan'!AR27</f>
        <v>0</v>
      </c>
      <c r="Q27" s="29">
        <f t="shared" si="2"/>
        <v>0</v>
      </c>
    </row>
    <row r="28" spans="1:17" x14ac:dyDescent="0.2">
      <c r="A28" s="14" t="s">
        <v>31</v>
      </c>
      <c r="B28" s="14" t="s">
        <v>71</v>
      </c>
      <c r="C28" s="10">
        <f>'4. Isi Produksi Ikan'!E28</f>
        <v>0</v>
      </c>
      <c r="D28" s="10">
        <f>'4. Isi Produksi Ikan'!H28</f>
        <v>0</v>
      </c>
      <c r="E28" s="10">
        <f>'4. Isi Produksi Ikan'!K28</f>
        <v>0</v>
      </c>
      <c r="F28" s="10">
        <f>'4. Isi Produksi Ikan'!N28</f>
        <v>0</v>
      </c>
      <c r="G28" s="10">
        <f>'4. Isi Produksi Ikan'!Q28</f>
        <v>0</v>
      </c>
      <c r="H28" s="10">
        <f>'4. Isi Produksi Ikan'!T28</f>
        <v>0</v>
      </c>
      <c r="I28" s="10">
        <f>'4. Isi Produksi Ikan'!W28</f>
        <v>0</v>
      </c>
      <c r="J28" s="10">
        <f>'4. Isi Produksi Ikan'!Z28</f>
        <v>0</v>
      </c>
      <c r="K28" s="10">
        <f>'4. Isi Produksi Ikan'!AC28</f>
        <v>0</v>
      </c>
      <c r="L28" s="10">
        <f>'4. Isi Produksi Ikan'!AF28</f>
        <v>0</v>
      </c>
      <c r="M28" s="10">
        <f>'4. Isi Produksi Ikan'!AI28</f>
        <v>0</v>
      </c>
      <c r="N28" s="10">
        <f>'4. Isi Produksi Ikan'!AL28</f>
        <v>0</v>
      </c>
      <c r="O28" s="10">
        <f>'4. Isi Produksi Ikan'!AO28</f>
        <v>0</v>
      </c>
      <c r="P28" s="10">
        <f>'4. Isi Produksi Ikan'!AR28</f>
        <v>0</v>
      </c>
      <c r="Q28" s="29">
        <f t="shared" si="2"/>
        <v>0</v>
      </c>
    </row>
    <row r="29" spans="1:17" x14ac:dyDescent="0.2">
      <c r="A29" s="14" t="s">
        <v>31</v>
      </c>
      <c r="B29" s="14" t="s">
        <v>72</v>
      </c>
      <c r="C29" s="10">
        <f>'4. Isi Produksi Ikan'!E29</f>
        <v>0</v>
      </c>
      <c r="D29" s="10">
        <f>'4. Isi Produksi Ikan'!H29</f>
        <v>0</v>
      </c>
      <c r="E29" s="10">
        <f>'4. Isi Produksi Ikan'!K29</f>
        <v>0</v>
      </c>
      <c r="F29" s="10">
        <f>'4. Isi Produksi Ikan'!N29</f>
        <v>0</v>
      </c>
      <c r="G29" s="10">
        <f>'4. Isi Produksi Ikan'!Q29</f>
        <v>0</v>
      </c>
      <c r="H29" s="10">
        <f>'4. Isi Produksi Ikan'!T29</f>
        <v>0</v>
      </c>
      <c r="I29" s="10">
        <f>'4. Isi Produksi Ikan'!W29</f>
        <v>0</v>
      </c>
      <c r="J29" s="10">
        <f>'4. Isi Produksi Ikan'!Z29</f>
        <v>0</v>
      </c>
      <c r="K29" s="10">
        <f>'4. Isi Produksi Ikan'!AC29</f>
        <v>0</v>
      </c>
      <c r="L29" s="10">
        <f>'4. Isi Produksi Ikan'!AF29</f>
        <v>0</v>
      </c>
      <c r="M29" s="10">
        <f>'4. Isi Produksi Ikan'!AI29</f>
        <v>0</v>
      </c>
      <c r="N29" s="10">
        <f>'4. Isi Produksi Ikan'!AL29</f>
        <v>0</v>
      </c>
      <c r="O29" s="10">
        <f>'4. Isi Produksi Ikan'!AO29</f>
        <v>0</v>
      </c>
      <c r="P29" s="10">
        <f>'4. Isi Produksi Ikan'!AR29</f>
        <v>0</v>
      </c>
      <c r="Q29" s="29">
        <f t="shared" si="2"/>
        <v>0</v>
      </c>
    </row>
    <row r="30" spans="1:17" x14ac:dyDescent="0.2">
      <c r="A30" s="14" t="s">
        <v>31</v>
      </c>
      <c r="B30" s="14" t="s">
        <v>73</v>
      </c>
      <c r="C30" s="10">
        <f>'4. Isi Produksi Ikan'!E30</f>
        <v>0</v>
      </c>
      <c r="D30" s="10">
        <f>'4. Isi Produksi Ikan'!H30</f>
        <v>0</v>
      </c>
      <c r="E30" s="10">
        <f>'4. Isi Produksi Ikan'!K30</f>
        <v>0</v>
      </c>
      <c r="F30" s="10">
        <f>'4. Isi Produksi Ikan'!N30</f>
        <v>0</v>
      </c>
      <c r="G30" s="10">
        <f>'4. Isi Produksi Ikan'!Q30</f>
        <v>0</v>
      </c>
      <c r="H30" s="10">
        <f>'4. Isi Produksi Ikan'!T30</f>
        <v>0</v>
      </c>
      <c r="I30" s="10">
        <f>'4. Isi Produksi Ikan'!W30</f>
        <v>0</v>
      </c>
      <c r="J30" s="10">
        <f>'4. Isi Produksi Ikan'!Z30</f>
        <v>0</v>
      </c>
      <c r="K30" s="10">
        <f>'4. Isi Produksi Ikan'!AC30</f>
        <v>0</v>
      </c>
      <c r="L30" s="10">
        <f>'4. Isi Produksi Ikan'!AF30</f>
        <v>0</v>
      </c>
      <c r="M30" s="10">
        <f>'4. Isi Produksi Ikan'!AI30</f>
        <v>0</v>
      </c>
      <c r="N30" s="10">
        <f>'4. Isi Produksi Ikan'!AL30</f>
        <v>0</v>
      </c>
      <c r="O30" s="10">
        <f>'4. Isi Produksi Ikan'!AO30</f>
        <v>0</v>
      </c>
      <c r="P30" s="10">
        <f>'4. Isi Produksi Ikan'!AR30</f>
        <v>0</v>
      </c>
      <c r="Q30" s="29">
        <f t="shared" si="2"/>
        <v>0</v>
      </c>
    </row>
    <row r="31" spans="1:17" x14ac:dyDescent="0.2">
      <c r="A31" s="14" t="s">
        <v>31</v>
      </c>
      <c r="B31" s="14" t="s">
        <v>74</v>
      </c>
      <c r="C31" s="10">
        <f>'4. Isi Produksi Ikan'!E31</f>
        <v>0</v>
      </c>
      <c r="D31" s="10">
        <f>'4. Isi Produksi Ikan'!H31</f>
        <v>0</v>
      </c>
      <c r="E31" s="10">
        <f>'4. Isi Produksi Ikan'!K31</f>
        <v>0</v>
      </c>
      <c r="F31" s="10">
        <f>'4. Isi Produksi Ikan'!N31</f>
        <v>0</v>
      </c>
      <c r="G31" s="10">
        <f>'4. Isi Produksi Ikan'!Q31</f>
        <v>0</v>
      </c>
      <c r="H31" s="10">
        <f>'4. Isi Produksi Ikan'!T31</f>
        <v>0</v>
      </c>
      <c r="I31" s="10">
        <f>'4. Isi Produksi Ikan'!W31</f>
        <v>0</v>
      </c>
      <c r="J31" s="10">
        <f>'4. Isi Produksi Ikan'!Z31</f>
        <v>0</v>
      </c>
      <c r="K31" s="10">
        <f>'4. Isi Produksi Ikan'!AC31</f>
        <v>0</v>
      </c>
      <c r="L31" s="10">
        <f>'4. Isi Produksi Ikan'!AF31</f>
        <v>0</v>
      </c>
      <c r="M31" s="10">
        <f>'4. Isi Produksi Ikan'!AI31</f>
        <v>0</v>
      </c>
      <c r="N31" s="10">
        <f>'4. Isi Produksi Ikan'!AL31</f>
        <v>0</v>
      </c>
      <c r="O31" s="10">
        <f>'4. Isi Produksi Ikan'!AO31</f>
        <v>0</v>
      </c>
      <c r="P31" s="10">
        <f>'4. Isi Produksi Ikan'!AR31</f>
        <v>0</v>
      </c>
      <c r="Q31" s="29">
        <f t="shared" si="2"/>
        <v>0</v>
      </c>
    </row>
    <row r="32" spans="1:17" x14ac:dyDescent="0.2">
      <c r="A32" s="14" t="s">
        <v>31</v>
      </c>
      <c r="B32" s="14" t="s">
        <v>75</v>
      </c>
      <c r="C32" s="10">
        <f>'4. Isi Produksi Ikan'!E32</f>
        <v>0</v>
      </c>
      <c r="D32" s="10">
        <f>'4. Isi Produksi Ikan'!H32</f>
        <v>0</v>
      </c>
      <c r="E32" s="10">
        <f>'4. Isi Produksi Ikan'!K32</f>
        <v>0</v>
      </c>
      <c r="F32" s="10">
        <f>'4. Isi Produksi Ikan'!N32</f>
        <v>0</v>
      </c>
      <c r="G32" s="10">
        <f>'4. Isi Produksi Ikan'!Q32</f>
        <v>0</v>
      </c>
      <c r="H32" s="10">
        <f>'4. Isi Produksi Ikan'!T32</f>
        <v>0</v>
      </c>
      <c r="I32" s="10">
        <f>'4. Isi Produksi Ikan'!W32</f>
        <v>0</v>
      </c>
      <c r="J32" s="10">
        <f>'4. Isi Produksi Ikan'!Z32</f>
        <v>0</v>
      </c>
      <c r="K32" s="10">
        <f>'4. Isi Produksi Ikan'!AC32</f>
        <v>0</v>
      </c>
      <c r="L32" s="10">
        <f>'4. Isi Produksi Ikan'!AF32</f>
        <v>0</v>
      </c>
      <c r="M32" s="10">
        <f>'4. Isi Produksi Ikan'!AI32</f>
        <v>0</v>
      </c>
      <c r="N32" s="10">
        <f>'4. Isi Produksi Ikan'!AL32</f>
        <v>0</v>
      </c>
      <c r="O32" s="10">
        <f>'4. Isi Produksi Ikan'!AO32</f>
        <v>0</v>
      </c>
      <c r="P32" s="10">
        <f>'4. Isi Produksi Ikan'!AR32</f>
        <v>0</v>
      </c>
      <c r="Q32" s="29">
        <f t="shared" si="2"/>
        <v>0</v>
      </c>
    </row>
    <row r="33" spans="1:17" x14ac:dyDescent="0.2">
      <c r="A33" s="14" t="s">
        <v>31</v>
      </c>
      <c r="B33" s="14" t="s">
        <v>76</v>
      </c>
      <c r="C33" s="10">
        <f>'4. Isi Produksi Ikan'!E33</f>
        <v>0</v>
      </c>
      <c r="D33" s="10">
        <f>'4. Isi Produksi Ikan'!H33</f>
        <v>0</v>
      </c>
      <c r="E33" s="10">
        <f>'4. Isi Produksi Ikan'!K33</f>
        <v>0</v>
      </c>
      <c r="F33" s="10">
        <f>'4. Isi Produksi Ikan'!N33</f>
        <v>0</v>
      </c>
      <c r="G33" s="10">
        <f>'4. Isi Produksi Ikan'!Q33</f>
        <v>0</v>
      </c>
      <c r="H33" s="10">
        <f>'4. Isi Produksi Ikan'!T33</f>
        <v>0</v>
      </c>
      <c r="I33" s="10">
        <f>'4. Isi Produksi Ikan'!W33</f>
        <v>0</v>
      </c>
      <c r="J33" s="10">
        <f>'4. Isi Produksi Ikan'!Z33</f>
        <v>0</v>
      </c>
      <c r="K33" s="10">
        <f>'4. Isi Produksi Ikan'!AC33</f>
        <v>0</v>
      </c>
      <c r="L33" s="10">
        <f>'4. Isi Produksi Ikan'!AF33</f>
        <v>0</v>
      </c>
      <c r="M33" s="10">
        <f>'4. Isi Produksi Ikan'!AI33</f>
        <v>0</v>
      </c>
      <c r="N33" s="10">
        <f>'4. Isi Produksi Ikan'!AL33</f>
        <v>0</v>
      </c>
      <c r="O33" s="10">
        <f>'4. Isi Produksi Ikan'!AO33</f>
        <v>0</v>
      </c>
      <c r="P33" s="10">
        <f>'4. Isi Produksi Ikan'!AR33</f>
        <v>0</v>
      </c>
      <c r="Q33" s="29">
        <f t="shared" si="2"/>
        <v>0</v>
      </c>
    </row>
    <row r="34" spans="1:17" x14ac:dyDescent="0.2">
      <c r="A34" s="14" t="s">
        <v>31</v>
      </c>
      <c r="B34" s="14" t="s">
        <v>77</v>
      </c>
      <c r="C34" s="10">
        <f>'4. Isi Produksi Ikan'!E34</f>
        <v>0</v>
      </c>
      <c r="D34" s="10">
        <f>'4. Isi Produksi Ikan'!H34</f>
        <v>0</v>
      </c>
      <c r="E34" s="10">
        <f>'4. Isi Produksi Ikan'!K34</f>
        <v>0</v>
      </c>
      <c r="F34" s="10">
        <f>'4. Isi Produksi Ikan'!N34</f>
        <v>0</v>
      </c>
      <c r="G34" s="10">
        <f>'4. Isi Produksi Ikan'!Q34</f>
        <v>0</v>
      </c>
      <c r="H34" s="10">
        <f>'4. Isi Produksi Ikan'!T34</f>
        <v>0</v>
      </c>
      <c r="I34" s="10">
        <f>'4. Isi Produksi Ikan'!W34</f>
        <v>0</v>
      </c>
      <c r="J34" s="10">
        <f>'4. Isi Produksi Ikan'!Z34</f>
        <v>0</v>
      </c>
      <c r="K34" s="10">
        <f>'4. Isi Produksi Ikan'!AC34</f>
        <v>0</v>
      </c>
      <c r="L34" s="10">
        <f>'4. Isi Produksi Ikan'!AF34</f>
        <v>0</v>
      </c>
      <c r="M34" s="10">
        <f>'4. Isi Produksi Ikan'!AI34</f>
        <v>0</v>
      </c>
      <c r="N34" s="10">
        <f>'4. Isi Produksi Ikan'!AL34</f>
        <v>0</v>
      </c>
      <c r="O34" s="10">
        <f>'4. Isi Produksi Ikan'!AO34</f>
        <v>0</v>
      </c>
      <c r="P34" s="10">
        <f>'4. Isi Produksi Ikan'!AR34</f>
        <v>0</v>
      </c>
      <c r="Q34" s="29">
        <f t="shared" si="2"/>
        <v>0</v>
      </c>
    </row>
    <row r="35" spans="1:17" x14ac:dyDescent="0.2">
      <c r="A35" s="14" t="s">
        <v>31</v>
      </c>
      <c r="B35" s="14" t="s">
        <v>78</v>
      </c>
      <c r="C35" s="10">
        <f>'4. Isi Produksi Ikan'!E35</f>
        <v>0</v>
      </c>
      <c r="D35" s="10">
        <f>'4. Isi Produksi Ikan'!H35</f>
        <v>0</v>
      </c>
      <c r="E35" s="10">
        <f>'4. Isi Produksi Ikan'!K35</f>
        <v>0</v>
      </c>
      <c r="F35" s="10">
        <f>'4. Isi Produksi Ikan'!N35</f>
        <v>0</v>
      </c>
      <c r="G35" s="10">
        <f>'4. Isi Produksi Ikan'!Q35</f>
        <v>0</v>
      </c>
      <c r="H35" s="10">
        <f>'4. Isi Produksi Ikan'!T35</f>
        <v>0</v>
      </c>
      <c r="I35" s="10">
        <f>'4. Isi Produksi Ikan'!W35</f>
        <v>0</v>
      </c>
      <c r="J35" s="10">
        <f>'4. Isi Produksi Ikan'!Z35</f>
        <v>0</v>
      </c>
      <c r="K35" s="10">
        <f>'4. Isi Produksi Ikan'!AC35</f>
        <v>0</v>
      </c>
      <c r="L35" s="10">
        <f>'4. Isi Produksi Ikan'!AF35</f>
        <v>0</v>
      </c>
      <c r="M35" s="10">
        <f>'4. Isi Produksi Ikan'!AI35</f>
        <v>0</v>
      </c>
      <c r="N35" s="10">
        <f>'4. Isi Produksi Ikan'!AL35</f>
        <v>0</v>
      </c>
      <c r="O35" s="10">
        <f>'4. Isi Produksi Ikan'!AO35</f>
        <v>0</v>
      </c>
      <c r="P35" s="10">
        <f>'4. Isi Produksi Ikan'!AR35</f>
        <v>0</v>
      </c>
      <c r="Q35" s="29">
        <f t="shared" si="2"/>
        <v>0</v>
      </c>
    </row>
    <row r="36" spans="1:17" x14ac:dyDescent="0.2">
      <c r="A36" s="14" t="s">
        <v>31</v>
      </c>
      <c r="B36" s="14" t="s">
        <v>79</v>
      </c>
      <c r="C36" s="10">
        <f>'4. Isi Produksi Ikan'!E36</f>
        <v>0</v>
      </c>
      <c r="D36" s="10">
        <f>'4. Isi Produksi Ikan'!H36</f>
        <v>0</v>
      </c>
      <c r="E36" s="10">
        <f>'4. Isi Produksi Ikan'!K36</f>
        <v>0</v>
      </c>
      <c r="F36" s="10">
        <f>'4. Isi Produksi Ikan'!N36</f>
        <v>0</v>
      </c>
      <c r="G36" s="10">
        <f>'4. Isi Produksi Ikan'!Q36</f>
        <v>0</v>
      </c>
      <c r="H36" s="10">
        <f>'4. Isi Produksi Ikan'!T36</f>
        <v>0</v>
      </c>
      <c r="I36" s="10">
        <f>'4. Isi Produksi Ikan'!W36</f>
        <v>0</v>
      </c>
      <c r="J36" s="10">
        <f>'4. Isi Produksi Ikan'!Z36</f>
        <v>0</v>
      </c>
      <c r="K36" s="10">
        <f>'4. Isi Produksi Ikan'!AC36</f>
        <v>0</v>
      </c>
      <c r="L36" s="10">
        <f>'4. Isi Produksi Ikan'!AF36</f>
        <v>0</v>
      </c>
      <c r="M36" s="10">
        <f>'4. Isi Produksi Ikan'!AI36</f>
        <v>0</v>
      </c>
      <c r="N36" s="10">
        <f>'4. Isi Produksi Ikan'!AL36</f>
        <v>0</v>
      </c>
      <c r="O36" s="10">
        <f>'4. Isi Produksi Ikan'!AO36</f>
        <v>0</v>
      </c>
      <c r="P36" s="10">
        <f>'4. Isi Produksi Ikan'!AR36</f>
        <v>0</v>
      </c>
      <c r="Q36" s="29">
        <f t="shared" si="2"/>
        <v>0</v>
      </c>
    </row>
    <row r="37" spans="1:17" x14ac:dyDescent="0.2">
      <c r="A37" s="14" t="s">
        <v>31</v>
      </c>
      <c r="B37" s="14" t="s">
        <v>80</v>
      </c>
      <c r="C37" s="10">
        <f>'4. Isi Produksi Ikan'!E37</f>
        <v>0</v>
      </c>
      <c r="D37" s="10">
        <f>'4. Isi Produksi Ikan'!H37</f>
        <v>0</v>
      </c>
      <c r="E37" s="10">
        <f>'4. Isi Produksi Ikan'!K37</f>
        <v>0</v>
      </c>
      <c r="F37" s="10">
        <f>'4. Isi Produksi Ikan'!N37</f>
        <v>0</v>
      </c>
      <c r="G37" s="10">
        <f>'4. Isi Produksi Ikan'!Q37</f>
        <v>0</v>
      </c>
      <c r="H37" s="10">
        <f>'4. Isi Produksi Ikan'!T37</f>
        <v>0</v>
      </c>
      <c r="I37" s="10">
        <f>'4. Isi Produksi Ikan'!W37</f>
        <v>0</v>
      </c>
      <c r="J37" s="10">
        <f>'4. Isi Produksi Ikan'!Z37</f>
        <v>0</v>
      </c>
      <c r="K37" s="10">
        <f>'4. Isi Produksi Ikan'!AC37</f>
        <v>0</v>
      </c>
      <c r="L37" s="10">
        <f>'4. Isi Produksi Ikan'!AF37</f>
        <v>0</v>
      </c>
      <c r="M37" s="10">
        <f>'4. Isi Produksi Ikan'!AI37</f>
        <v>0</v>
      </c>
      <c r="N37" s="10">
        <f>'4. Isi Produksi Ikan'!AL37</f>
        <v>0</v>
      </c>
      <c r="O37" s="10">
        <f>'4. Isi Produksi Ikan'!AO37</f>
        <v>0</v>
      </c>
      <c r="P37" s="10">
        <f>'4. Isi Produksi Ikan'!AR37</f>
        <v>0</v>
      </c>
      <c r="Q37" s="29">
        <f t="shared" si="2"/>
        <v>0</v>
      </c>
    </row>
    <row r="38" spans="1:17" x14ac:dyDescent="0.2">
      <c r="A38" s="14" t="s">
        <v>31</v>
      </c>
      <c r="B38" s="14" t="s">
        <v>81</v>
      </c>
      <c r="C38" s="10">
        <f>'4. Isi Produksi Ikan'!E38</f>
        <v>0</v>
      </c>
      <c r="D38" s="10">
        <f>'4. Isi Produksi Ikan'!H38</f>
        <v>0</v>
      </c>
      <c r="E38" s="10">
        <f>'4. Isi Produksi Ikan'!K38</f>
        <v>0</v>
      </c>
      <c r="F38" s="10">
        <f>'4. Isi Produksi Ikan'!N38</f>
        <v>0</v>
      </c>
      <c r="G38" s="10">
        <f>'4. Isi Produksi Ikan'!Q38</f>
        <v>0</v>
      </c>
      <c r="H38" s="10">
        <f>'4. Isi Produksi Ikan'!T38</f>
        <v>0</v>
      </c>
      <c r="I38" s="10">
        <f>'4. Isi Produksi Ikan'!W38</f>
        <v>0</v>
      </c>
      <c r="J38" s="10">
        <f>'4. Isi Produksi Ikan'!Z38</f>
        <v>0</v>
      </c>
      <c r="K38" s="10">
        <f>'4. Isi Produksi Ikan'!AC38</f>
        <v>0</v>
      </c>
      <c r="L38" s="10">
        <f>'4. Isi Produksi Ikan'!AF38</f>
        <v>0</v>
      </c>
      <c r="M38" s="10">
        <f>'4. Isi Produksi Ikan'!AI38</f>
        <v>0</v>
      </c>
      <c r="N38" s="10">
        <f>'4. Isi Produksi Ikan'!AL38</f>
        <v>0</v>
      </c>
      <c r="O38" s="10">
        <f>'4. Isi Produksi Ikan'!AO38</f>
        <v>0</v>
      </c>
      <c r="P38" s="10">
        <f>'4. Isi Produksi Ikan'!AR38</f>
        <v>0</v>
      </c>
      <c r="Q38" s="29">
        <f t="shared" si="2"/>
        <v>0</v>
      </c>
    </row>
    <row r="39" spans="1:17" x14ac:dyDescent="0.2">
      <c r="A39" s="14" t="s">
        <v>31</v>
      </c>
      <c r="B39" s="14" t="s">
        <v>82</v>
      </c>
      <c r="C39" s="10">
        <f>'4. Isi Produksi Ikan'!E39</f>
        <v>0</v>
      </c>
      <c r="D39" s="10">
        <f>'4. Isi Produksi Ikan'!H39</f>
        <v>0</v>
      </c>
      <c r="E39" s="10">
        <f>'4. Isi Produksi Ikan'!K39</f>
        <v>0</v>
      </c>
      <c r="F39" s="10">
        <f>'4. Isi Produksi Ikan'!N39</f>
        <v>0</v>
      </c>
      <c r="G39" s="10">
        <f>'4. Isi Produksi Ikan'!Q39</f>
        <v>0</v>
      </c>
      <c r="H39" s="10">
        <f>'4. Isi Produksi Ikan'!T39</f>
        <v>0</v>
      </c>
      <c r="I39" s="10">
        <f>'4. Isi Produksi Ikan'!W39</f>
        <v>0</v>
      </c>
      <c r="J39" s="10">
        <f>'4. Isi Produksi Ikan'!Z39</f>
        <v>0</v>
      </c>
      <c r="K39" s="10">
        <f>'4. Isi Produksi Ikan'!AC39</f>
        <v>0</v>
      </c>
      <c r="L39" s="10">
        <f>'4. Isi Produksi Ikan'!AF39</f>
        <v>0</v>
      </c>
      <c r="M39" s="10">
        <f>'4. Isi Produksi Ikan'!AI39</f>
        <v>0</v>
      </c>
      <c r="N39" s="10">
        <f>'4. Isi Produksi Ikan'!AL39</f>
        <v>0</v>
      </c>
      <c r="O39" s="10">
        <f>'4. Isi Produksi Ikan'!AO39</f>
        <v>0</v>
      </c>
      <c r="P39" s="10">
        <f>'4. Isi Produksi Ikan'!AR39</f>
        <v>0</v>
      </c>
      <c r="Q39" s="29">
        <f t="shared" si="2"/>
        <v>0</v>
      </c>
    </row>
    <row r="40" spans="1:17" x14ac:dyDescent="0.2">
      <c r="A40" s="14" t="s">
        <v>31</v>
      </c>
      <c r="B40" s="14" t="s">
        <v>83</v>
      </c>
      <c r="C40" s="10">
        <f>'4. Isi Produksi Ikan'!E40</f>
        <v>0</v>
      </c>
      <c r="D40" s="10">
        <f>'4. Isi Produksi Ikan'!H40</f>
        <v>0</v>
      </c>
      <c r="E40" s="10">
        <f>'4. Isi Produksi Ikan'!K40</f>
        <v>0</v>
      </c>
      <c r="F40" s="10">
        <f>'4. Isi Produksi Ikan'!N40</f>
        <v>0</v>
      </c>
      <c r="G40" s="10">
        <f>'4. Isi Produksi Ikan'!Q40</f>
        <v>0</v>
      </c>
      <c r="H40" s="10">
        <f>'4. Isi Produksi Ikan'!T40</f>
        <v>0</v>
      </c>
      <c r="I40" s="10">
        <f>'4. Isi Produksi Ikan'!W40</f>
        <v>0</v>
      </c>
      <c r="J40" s="10">
        <f>'4. Isi Produksi Ikan'!Z40</f>
        <v>0</v>
      </c>
      <c r="K40" s="10">
        <f>'4. Isi Produksi Ikan'!AC40</f>
        <v>0</v>
      </c>
      <c r="L40" s="10">
        <f>'4. Isi Produksi Ikan'!AF40</f>
        <v>0</v>
      </c>
      <c r="M40" s="10">
        <f>'4. Isi Produksi Ikan'!AI40</f>
        <v>0</v>
      </c>
      <c r="N40" s="10">
        <f>'4. Isi Produksi Ikan'!AL40</f>
        <v>0</v>
      </c>
      <c r="O40" s="10">
        <f>'4. Isi Produksi Ikan'!AO40</f>
        <v>0</v>
      </c>
      <c r="P40" s="10">
        <f>'4. Isi Produksi Ikan'!AR40</f>
        <v>0</v>
      </c>
      <c r="Q40" s="29">
        <f t="shared" si="2"/>
        <v>0</v>
      </c>
    </row>
    <row r="41" spans="1:17" x14ac:dyDescent="0.2">
      <c r="A41" s="14" t="s">
        <v>31</v>
      </c>
      <c r="B41" s="14" t="s">
        <v>84</v>
      </c>
      <c r="C41" s="10">
        <f>'4. Isi Produksi Ikan'!E41</f>
        <v>0</v>
      </c>
      <c r="D41" s="10">
        <f>'4. Isi Produksi Ikan'!H41</f>
        <v>0</v>
      </c>
      <c r="E41" s="10">
        <f>'4. Isi Produksi Ikan'!K41</f>
        <v>0</v>
      </c>
      <c r="F41" s="10">
        <f>'4. Isi Produksi Ikan'!N41</f>
        <v>0</v>
      </c>
      <c r="G41" s="10">
        <f>'4. Isi Produksi Ikan'!Q41</f>
        <v>0</v>
      </c>
      <c r="H41" s="10">
        <f>'4. Isi Produksi Ikan'!T41</f>
        <v>0</v>
      </c>
      <c r="I41" s="10">
        <f>'4. Isi Produksi Ikan'!W41</f>
        <v>0</v>
      </c>
      <c r="J41" s="10">
        <f>'4. Isi Produksi Ikan'!Z41</f>
        <v>0</v>
      </c>
      <c r="K41" s="10">
        <f>'4. Isi Produksi Ikan'!AC41</f>
        <v>0</v>
      </c>
      <c r="L41" s="10">
        <f>'4. Isi Produksi Ikan'!AF41</f>
        <v>0</v>
      </c>
      <c r="M41" s="10">
        <f>'4. Isi Produksi Ikan'!AI41</f>
        <v>0</v>
      </c>
      <c r="N41" s="10">
        <f>'4. Isi Produksi Ikan'!AL41</f>
        <v>0</v>
      </c>
      <c r="O41" s="10">
        <f>'4. Isi Produksi Ikan'!AO41</f>
        <v>0</v>
      </c>
      <c r="P41" s="10">
        <f>'4. Isi Produksi Ikan'!AR41</f>
        <v>0</v>
      </c>
      <c r="Q41" s="29">
        <f t="shared" ref="Q41:Q72" si="3">SUM(C41:P41)</f>
        <v>0</v>
      </c>
    </row>
    <row r="42" spans="1:17" x14ac:dyDescent="0.2">
      <c r="A42" s="14" t="s">
        <v>31</v>
      </c>
      <c r="B42" s="14" t="s">
        <v>85</v>
      </c>
      <c r="C42" s="10">
        <f>'4. Isi Produksi Ikan'!E42</f>
        <v>0</v>
      </c>
      <c r="D42" s="10">
        <f>'4. Isi Produksi Ikan'!H42</f>
        <v>0</v>
      </c>
      <c r="E42" s="10">
        <f>'4. Isi Produksi Ikan'!K42</f>
        <v>0</v>
      </c>
      <c r="F42" s="10">
        <f>'4. Isi Produksi Ikan'!N42</f>
        <v>0</v>
      </c>
      <c r="G42" s="10">
        <f>'4. Isi Produksi Ikan'!Q42</f>
        <v>0</v>
      </c>
      <c r="H42" s="10">
        <f>'4. Isi Produksi Ikan'!T42</f>
        <v>0</v>
      </c>
      <c r="I42" s="10">
        <f>'4. Isi Produksi Ikan'!W42</f>
        <v>0</v>
      </c>
      <c r="J42" s="10">
        <f>'4. Isi Produksi Ikan'!Z42</f>
        <v>0</v>
      </c>
      <c r="K42" s="10">
        <f>'4. Isi Produksi Ikan'!AC42</f>
        <v>0</v>
      </c>
      <c r="L42" s="10">
        <f>'4. Isi Produksi Ikan'!AF42</f>
        <v>0</v>
      </c>
      <c r="M42" s="10">
        <f>'4. Isi Produksi Ikan'!AI42</f>
        <v>0</v>
      </c>
      <c r="N42" s="10">
        <f>'4. Isi Produksi Ikan'!AL42</f>
        <v>0</v>
      </c>
      <c r="O42" s="10">
        <f>'4. Isi Produksi Ikan'!AO42</f>
        <v>0</v>
      </c>
      <c r="P42" s="10">
        <f>'4. Isi Produksi Ikan'!AR42</f>
        <v>0</v>
      </c>
      <c r="Q42" s="29">
        <f t="shared" si="3"/>
        <v>0</v>
      </c>
    </row>
    <row r="43" spans="1:17" x14ac:dyDescent="0.2">
      <c r="A43" s="14" t="s">
        <v>31</v>
      </c>
      <c r="B43" s="14" t="s">
        <v>25</v>
      </c>
      <c r="C43" s="10">
        <f>'4. Isi Produksi Ikan'!E43</f>
        <v>0</v>
      </c>
      <c r="D43" s="10">
        <f>'4. Isi Produksi Ikan'!H43</f>
        <v>0</v>
      </c>
      <c r="E43" s="10">
        <f>'4. Isi Produksi Ikan'!K43</f>
        <v>0</v>
      </c>
      <c r="F43" s="10">
        <f>'4. Isi Produksi Ikan'!N43</f>
        <v>0</v>
      </c>
      <c r="G43" s="10">
        <f>'4. Isi Produksi Ikan'!Q43</f>
        <v>0</v>
      </c>
      <c r="H43" s="10">
        <f>'4. Isi Produksi Ikan'!T43</f>
        <v>0</v>
      </c>
      <c r="I43" s="10">
        <f>'4. Isi Produksi Ikan'!W43</f>
        <v>0</v>
      </c>
      <c r="J43" s="10">
        <f>'4. Isi Produksi Ikan'!Z43</f>
        <v>0</v>
      </c>
      <c r="K43" s="10">
        <f>'4. Isi Produksi Ikan'!AC43</f>
        <v>0</v>
      </c>
      <c r="L43" s="10">
        <f>'4. Isi Produksi Ikan'!AF43</f>
        <v>0</v>
      </c>
      <c r="M43" s="10">
        <f>'4. Isi Produksi Ikan'!AI43</f>
        <v>0</v>
      </c>
      <c r="N43" s="10">
        <f>'4. Isi Produksi Ikan'!AL43</f>
        <v>0</v>
      </c>
      <c r="O43" s="10">
        <f>'4. Isi Produksi Ikan'!AO43</f>
        <v>0</v>
      </c>
      <c r="P43" s="10">
        <f>'4. Isi Produksi Ikan'!AR43</f>
        <v>0</v>
      </c>
      <c r="Q43" s="29">
        <f t="shared" si="3"/>
        <v>0</v>
      </c>
    </row>
    <row r="44" spans="1:17" x14ac:dyDescent="0.2">
      <c r="A44" s="14" t="s">
        <v>31</v>
      </c>
      <c r="B44" s="14" t="s">
        <v>86</v>
      </c>
      <c r="C44" s="10">
        <f>'4. Isi Produksi Ikan'!E44</f>
        <v>0</v>
      </c>
      <c r="D44" s="10">
        <f>'4. Isi Produksi Ikan'!H44</f>
        <v>0</v>
      </c>
      <c r="E44" s="10">
        <f>'4. Isi Produksi Ikan'!K44</f>
        <v>0</v>
      </c>
      <c r="F44" s="10">
        <f>'4. Isi Produksi Ikan'!N44</f>
        <v>0</v>
      </c>
      <c r="G44" s="10">
        <f>'4. Isi Produksi Ikan'!Q44</f>
        <v>0</v>
      </c>
      <c r="H44" s="10">
        <f>'4. Isi Produksi Ikan'!T44</f>
        <v>0</v>
      </c>
      <c r="I44" s="10">
        <f>'4. Isi Produksi Ikan'!W44</f>
        <v>0</v>
      </c>
      <c r="J44" s="10">
        <f>'4. Isi Produksi Ikan'!Z44</f>
        <v>0</v>
      </c>
      <c r="K44" s="10">
        <f>'4. Isi Produksi Ikan'!AC44</f>
        <v>0</v>
      </c>
      <c r="L44" s="10">
        <f>'4. Isi Produksi Ikan'!AF44</f>
        <v>0</v>
      </c>
      <c r="M44" s="10">
        <f>'4. Isi Produksi Ikan'!AI44</f>
        <v>0</v>
      </c>
      <c r="N44" s="10">
        <f>'4. Isi Produksi Ikan'!AL44</f>
        <v>0</v>
      </c>
      <c r="O44" s="10">
        <f>'4. Isi Produksi Ikan'!AO44</f>
        <v>0</v>
      </c>
      <c r="P44" s="10">
        <f>'4. Isi Produksi Ikan'!AR44</f>
        <v>0</v>
      </c>
      <c r="Q44" s="29">
        <f t="shared" si="3"/>
        <v>0</v>
      </c>
    </row>
    <row r="45" spans="1:17" x14ac:dyDescent="0.2">
      <c r="A45" s="14" t="s">
        <v>31</v>
      </c>
      <c r="B45" s="14" t="s">
        <v>87</v>
      </c>
      <c r="C45" s="10">
        <f>'4. Isi Produksi Ikan'!E45</f>
        <v>0</v>
      </c>
      <c r="D45" s="10">
        <f>'4. Isi Produksi Ikan'!H45</f>
        <v>0</v>
      </c>
      <c r="E45" s="10">
        <f>'4. Isi Produksi Ikan'!K45</f>
        <v>0</v>
      </c>
      <c r="F45" s="10">
        <f>'4. Isi Produksi Ikan'!N45</f>
        <v>0</v>
      </c>
      <c r="G45" s="10">
        <f>'4. Isi Produksi Ikan'!Q45</f>
        <v>0</v>
      </c>
      <c r="H45" s="10">
        <f>'4. Isi Produksi Ikan'!T45</f>
        <v>0</v>
      </c>
      <c r="I45" s="10">
        <f>'4. Isi Produksi Ikan'!W45</f>
        <v>0</v>
      </c>
      <c r="J45" s="10">
        <f>'4. Isi Produksi Ikan'!Z45</f>
        <v>0</v>
      </c>
      <c r="K45" s="10">
        <f>'4. Isi Produksi Ikan'!AC45</f>
        <v>0</v>
      </c>
      <c r="L45" s="10">
        <f>'4. Isi Produksi Ikan'!AF45</f>
        <v>0</v>
      </c>
      <c r="M45" s="10">
        <f>'4. Isi Produksi Ikan'!AI45</f>
        <v>0</v>
      </c>
      <c r="N45" s="10">
        <f>'4. Isi Produksi Ikan'!AL45</f>
        <v>0</v>
      </c>
      <c r="O45" s="10">
        <f>'4. Isi Produksi Ikan'!AO45</f>
        <v>0</v>
      </c>
      <c r="P45" s="10">
        <f>'4. Isi Produksi Ikan'!AR45</f>
        <v>0</v>
      </c>
      <c r="Q45" s="29">
        <f t="shared" si="3"/>
        <v>0</v>
      </c>
    </row>
    <row r="46" spans="1:17" x14ac:dyDescent="0.2">
      <c r="A46" s="14" t="s">
        <v>31</v>
      </c>
      <c r="B46" s="14" t="s">
        <v>88</v>
      </c>
      <c r="C46" s="10">
        <f>'4. Isi Produksi Ikan'!E46</f>
        <v>0</v>
      </c>
      <c r="D46" s="10">
        <f>'4. Isi Produksi Ikan'!H46</f>
        <v>0</v>
      </c>
      <c r="E46" s="10">
        <f>'4. Isi Produksi Ikan'!K46</f>
        <v>0</v>
      </c>
      <c r="F46" s="10">
        <f>'4. Isi Produksi Ikan'!N46</f>
        <v>0</v>
      </c>
      <c r="G46" s="10">
        <f>'4. Isi Produksi Ikan'!Q46</f>
        <v>0</v>
      </c>
      <c r="H46" s="10">
        <f>'4. Isi Produksi Ikan'!T46</f>
        <v>0</v>
      </c>
      <c r="I46" s="10">
        <f>'4. Isi Produksi Ikan'!W46</f>
        <v>0</v>
      </c>
      <c r="J46" s="10">
        <f>'4. Isi Produksi Ikan'!Z46</f>
        <v>0</v>
      </c>
      <c r="K46" s="10">
        <f>'4. Isi Produksi Ikan'!AC46</f>
        <v>0</v>
      </c>
      <c r="L46" s="10">
        <f>'4. Isi Produksi Ikan'!AF46</f>
        <v>0</v>
      </c>
      <c r="M46" s="10">
        <f>'4. Isi Produksi Ikan'!AI46</f>
        <v>0</v>
      </c>
      <c r="N46" s="10">
        <f>'4. Isi Produksi Ikan'!AL46</f>
        <v>0</v>
      </c>
      <c r="O46" s="10">
        <f>'4. Isi Produksi Ikan'!AO46</f>
        <v>0</v>
      </c>
      <c r="P46" s="10">
        <f>'4. Isi Produksi Ikan'!AR46</f>
        <v>0</v>
      </c>
      <c r="Q46" s="29">
        <f t="shared" si="3"/>
        <v>0</v>
      </c>
    </row>
    <row r="47" spans="1:17" x14ac:dyDescent="0.2">
      <c r="A47" s="14" t="s">
        <v>31</v>
      </c>
      <c r="B47" s="14" t="s">
        <v>89</v>
      </c>
      <c r="C47" s="10">
        <f>'4. Isi Produksi Ikan'!E47</f>
        <v>0</v>
      </c>
      <c r="D47" s="10">
        <f>'4. Isi Produksi Ikan'!H47</f>
        <v>0</v>
      </c>
      <c r="E47" s="10">
        <f>'4. Isi Produksi Ikan'!K47</f>
        <v>0</v>
      </c>
      <c r="F47" s="10">
        <f>'4. Isi Produksi Ikan'!N47</f>
        <v>0</v>
      </c>
      <c r="G47" s="10">
        <f>'4. Isi Produksi Ikan'!Q47</f>
        <v>0</v>
      </c>
      <c r="H47" s="10">
        <f>'4. Isi Produksi Ikan'!T47</f>
        <v>0</v>
      </c>
      <c r="I47" s="10">
        <f>'4. Isi Produksi Ikan'!W47</f>
        <v>0</v>
      </c>
      <c r="J47" s="10">
        <f>'4. Isi Produksi Ikan'!Z47</f>
        <v>0</v>
      </c>
      <c r="K47" s="10">
        <f>'4. Isi Produksi Ikan'!AC47</f>
        <v>0</v>
      </c>
      <c r="L47" s="10">
        <f>'4. Isi Produksi Ikan'!AF47</f>
        <v>0</v>
      </c>
      <c r="M47" s="10">
        <f>'4. Isi Produksi Ikan'!AI47</f>
        <v>0</v>
      </c>
      <c r="N47" s="10">
        <f>'4. Isi Produksi Ikan'!AL47</f>
        <v>0</v>
      </c>
      <c r="O47" s="10">
        <f>'4. Isi Produksi Ikan'!AO47</f>
        <v>0</v>
      </c>
      <c r="P47" s="10">
        <f>'4. Isi Produksi Ikan'!AR47</f>
        <v>0</v>
      </c>
      <c r="Q47" s="29">
        <f t="shared" si="3"/>
        <v>0</v>
      </c>
    </row>
    <row r="48" spans="1:17" x14ac:dyDescent="0.2">
      <c r="A48" s="14" t="s">
        <v>31</v>
      </c>
      <c r="B48" s="14" t="s">
        <v>90</v>
      </c>
      <c r="C48" s="10">
        <f>'4. Isi Produksi Ikan'!E48</f>
        <v>0</v>
      </c>
      <c r="D48" s="10">
        <f>'4. Isi Produksi Ikan'!H48</f>
        <v>0</v>
      </c>
      <c r="E48" s="10">
        <f>'4. Isi Produksi Ikan'!K48</f>
        <v>0</v>
      </c>
      <c r="F48" s="10">
        <f>'4. Isi Produksi Ikan'!N48</f>
        <v>0</v>
      </c>
      <c r="G48" s="10">
        <f>'4. Isi Produksi Ikan'!Q48</f>
        <v>0</v>
      </c>
      <c r="H48" s="10">
        <f>'4. Isi Produksi Ikan'!T48</f>
        <v>0</v>
      </c>
      <c r="I48" s="10">
        <f>'4. Isi Produksi Ikan'!W48</f>
        <v>0</v>
      </c>
      <c r="J48" s="10">
        <f>'4. Isi Produksi Ikan'!Z48</f>
        <v>0</v>
      </c>
      <c r="K48" s="10">
        <f>'4. Isi Produksi Ikan'!AC48</f>
        <v>0</v>
      </c>
      <c r="L48" s="10">
        <f>'4. Isi Produksi Ikan'!AF48</f>
        <v>0</v>
      </c>
      <c r="M48" s="10">
        <f>'4. Isi Produksi Ikan'!AI48</f>
        <v>0</v>
      </c>
      <c r="N48" s="10">
        <f>'4. Isi Produksi Ikan'!AL48</f>
        <v>0</v>
      </c>
      <c r="O48" s="10">
        <f>'4. Isi Produksi Ikan'!AO48</f>
        <v>0</v>
      </c>
      <c r="P48" s="10">
        <f>'4. Isi Produksi Ikan'!AR48</f>
        <v>0</v>
      </c>
      <c r="Q48" s="29">
        <f t="shared" si="3"/>
        <v>0</v>
      </c>
    </row>
    <row r="49" spans="1:17" x14ac:dyDescent="0.2">
      <c r="A49" s="14" t="s">
        <v>31</v>
      </c>
      <c r="B49" s="14" t="s">
        <v>91</v>
      </c>
      <c r="C49" s="10">
        <f>'4. Isi Produksi Ikan'!E49</f>
        <v>0</v>
      </c>
      <c r="D49" s="10">
        <f>'4. Isi Produksi Ikan'!H49</f>
        <v>0</v>
      </c>
      <c r="E49" s="10">
        <f>'4. Isi Produksi Ikan'!K49</f>
        <v>0</v>
      </c>
      <c r="F49" s="10">
        <f>'4. Isi Produksi Ikan'!N49</f>
        <v>0</v>
      </c>
      <c r="G49" s="10">
        <f>'4. Isi Produksi Ikan'!Q49</f>
        <v>0</v>
      </c>
      <c r="H49" s="10">
        <f>'4. Isi Produksi Ikan'!T49</f>
        <v>0</v>
      </c>
      <c r="I49" s="10">
        <f>'4. Isi Produksi Ikan'!W49</f>
        <v>0</v>
      </c>
      <c r="J49" s="10">
        <f>'4. Isi Produksi Ikan'!Z49</f>
        <v>0</v>
      </c>
      <c r="K49" s="10">
        <f>'4. Isi Produksi Ikan'!AC49</f>
        <v>0</v>
      </c>
      <c r="L49" s="10">
        <f>'4. Isi Produksi Ikan'!AF49</f>
        <v>0</v>
      </c>
      <c r="M49" s="10">
        <f>'4. Isi Produksi Ikan'!AI49</f>
        <v>0</v>
      </c>
      <c r="N49" s="10">
        <f>'4. Isi Produksi Ikan'!AL49</f>
        <v>0</v>
      </c>
      <c r="O49" s="10">
        <f>'4. Isi Produksi Ikan'!AO49</f>
        <v>0</v>
      </c>
      <c r="P49" s="10">
        <f>'4. Isi Produksi Ikan'!AR49</f>
        <v>0</v>
      </c>
      <c r="Q49" s="29">
        <f t="shared" si="3"/>
        <v>0</v>
      </c>
    </row>
    <row r="50" spans="1:17" x14ac:dyDescent="0.2">
      <c r="A50" s="14" t="s">
        <v>31</v>
      </c>
      <c r="B50" s="14" t="s">
        <v>92</v>
      </c>
      <c r="C50" s="10">
        <f>'4. Isi Produksi Ikan'!E50</f>
        <v>0</v>
      </c>
      <c r="D50" s="10">
        <f>'4. Isi Produksi Ikan'!H50</f>
        <v>0</v>
      </c>
      <c r="E50" s="10">
        <f>'4. Isi Produksi Ikan'!K50</f>
        <v>0</v>
      </c>
      <c r="F50" s="10">
        <f>'4. Isi Produksi Ikan'!N50</f>
        <v>0</v>
      </c>
      <c r="G50" s="10">
        <f>'4. Isi Produksi Ikan'!Q50</f>
        <v>0</v>
      </c>
      <c r="H50" s="10">
        <f>'4. Isi Produksi Ikan'!T50</f>
        <v>0</v>
      </c>
      <c r="I50" s="10">
        <f>'4. Isi Produksi Ikan'!W50</f>
        <v>0</v>
      </c>
      <c r="J50" s="10">
        <f>'4. Isi Produksi Ikan'!Z50</f>
        <v>0</v>
      </c>
      <c r="K50" s="10">
        <f>'4. Isi Produksi Ikan'!AC50</f>
        <v>0</v>
      </c>
      <c r="L50" s="10">
        <f>'4. Isi Produksi Ikan'!AF50</f>
        <v>0</v>
      </c>
      <c r="M50" s="10">
        <f>'4. Isi Produksi Ikan'!AI50</f>
        <v>0</v>
      </c>
      <c r="N50" s="10">
        <f>'4. Isi Produksi Ikan'!AL50</f>
        <v>0</v>
      </c>
      <c r="O50" s="10">
        <f>'4. Isi Produksi Ikan'!AO50</f>
        <v>0</v>
      </c>
      <c r="P50" s="10">
        <f>'4. Isi Produksi Ikan'!AR50</f>
        <v>0</v>
      </c>
      <c r="Q50" s="29">
        <f t="shared" si="3"/>
        <v>0</v>
      </c>
    </row>
    <row r="51" spans="1:17" x14ac:dyDescent="0.2">
      <c r="A51" s="14" t="s">
        <v>31</v>
      </c>
      <c r="B51" s="14" t="s">
        <v>93</v>
      </c>
      <c r="C51" s="10">
        <f>'4. Isi Produksi Ikan'!E51</f>
        <v>0</v>
      </c>
      <c r="D51" s="10">
        <f>'4. Isi Produksi Ikan'!H51</f>
        <v>0</v>
      </c>
      <c r="E51" s="10">
        <f>'4. Isi Produksi Ikan'!K51</f>
        <v>0</v>
      </c>
      <c r="F51" s="10">
        <f>'4. Isi Produksi Ikan'!N51</f>
        <v>0</v>
      </c>
      <c r="G51" s="10">
        <f>'4. Isi Produksi Ikan'!Q51</f>
        <v>0</v>
      </c>
      <c r="H51" s="10">
        <f>'4. Isi Produksi Ikan'!T51</f>
        <v>0</v>
      </c>
      <c r="I51" s="10">
        <f>'4. Isi Produksi Ikan'!W51</f>
        <v>0</v>
      </c>
      <c r="J51" s="10">
        <f>'4. Isi Produksi Ikan'!Z51</f>
        <v>0</v>
      </c>
      <c r="K51" s="10">
        <f>'4. Isi Produksi Ikan'!AC51</f>
        <v>0</v>
      </c>
      <c r="L51" s="10">
        <f>'4. Isi Produksi Ikan'!AF51</f>
        <v>0</v>
      </c>
      <c r="M51" s="10">
        <f>'4. Isi Produksi Ikan'!AI51</f>
        <v>0</v>
      </c>
      <c r="N51" s="10">
        <f>'4. Isi Produksi Ikan'!AL51</f>
        <v>0</v>
      </c>
      <c r="O51" s="10">
        <f>'4. Isi Produksi Ikan'!AO51</f>
        <v>0</v>
      </c>
      <c r="P51" s="10">
        <f>'4. Isi Produksi Ikan'!AR51</f>
        <v>0</v>
      </c>
      <c r="Q51" s="29">
        <f t="shared" si="3"/>
        <v>0</v>
      </c>
    </row>
    <row r="52" spans="1:17" x14ac:dyDescent="0.2">
      <c r="A52" s="14" t="s">
        <v>31</v>
      </c>
      <c r="B52" s="14" t="s">
        <v>94</v>
      </c>
      <c r="C52" s="10">
        <f>'4. Isi Produksi Ikan'!E52</f>
        <v>0</v>
      </c>
      <c r="D52" s="10">
        <f>'4. Isi Produksi Ikan'!H52</f>
        <v>0</v>
      </c>
      <c r="E52" s="10">
        <f>'4. Isi Produksi Ikan'!K52</f>
        <v>0</v>
      </c>
      <c r="F52" s="10">
        <f>'4. Isi Produksi Ikan'!N52</f>
        <v>0</v>
      </c>
      <c r="G52" s="10">
        <f>'4. Isi Produksi Ikan'!Q52</f>
        <v>0</v>
      </c>
      <c r="H52" s="10">
        <f>'4. Isi Produksi Ikan'!T52</f>
        <v>0</v>
      </c>
      <c r="I52" s="10">
        <f>'4. Isi Produksi Ikan'!W52</f>
        <v>0</v>
      </c>
      <c r="J52" s="10">
        <f>'4. Isi Produksi Ikan'!Z52</f>
        <v>0</v>
      </c>
      <c r="K52" s="10">
        <f>'4. Isi Produksi Ikan'!AC52</f>
        <v>0</v>
      </c>
      <c r="L52" s="10">
        <f>'4. Isi Produksi Ikan'!AF52</f>
        <v>0</v>
      </c>
      <c r="M52" s="10">
        <f>'4. Isi Produksi Ikan'!AI52</f>
        <v>0</v>
      </c>
      <c r="N52" s="10">
        <f>'4. Isi Produksi Ikan'!AL52</f>
        <v>0</v>
      </c>
      <c r="O52" s="10">
        <f>'4. Isi Produksi Ikan'!AO52</f>
        <v>0</v>
      </c>
      <c r="P52" s="10">
        <f>'4. Isi Produksi Ikan'!AR52</f>
        <v>0</v>
      </c>
      <c r="Q52" s="29">
        <f t="shared" si="3"/>
        <v>0</v>
      </c>
    </row>
    <row r="53" spans="1:17" x14ac:dyDescent="0.2">
      <c r="A53" s="14" t="s">
        <v>31</v>
      </c>
      <c r="B53" s="14" t="s">
        <v>95</v>
      </c>
      <c r="C53" s="10">
        <f>'4. Isi Produksi Ikan'!E53</f>
        <v>0</v>
      </c>
      <c r="D53" s="10">
        <f>'4. Isi Produksi Ikan'!H53</f>
        <v>0</v>
      </c>
      <c r="E53" s="10">
        <f>'4. Isi Produksi Ikan'!K53</f>
        <v>0</v>
      </c>
      <c r="F53" s="10">
        <f>'4. Isi Produksi Ikan'!N53</f>
        <v>0</v>
      </c>
      <c r="G53" s="10">
        <f>'4. Isi Produksi Ikan'!Q53</f>
        <v>0</v>
      </c>
      <c r="H53" s="10">
        <f>'4. Isi Produksi Ikan'!T53</f>
        <v>0</v>
      </c>
      <c r="I53" s="10">
        <f>'4. Isi Produksi Ikan'!W53</f>
        <v>0</v>
      </c>
      <c r="J53" s="10">
        <f>'4. Isi Produksi Ikan'!Z53</f>
        <v>0</v>
      </c>
      <c r="K53" s="10">
        <f>'4. Isi Produksi Ikan'!AC53</f>
        <v>0</v>
      </c>
      <c r="L53" s="10">
        <f>'4. Isi Produksi Ikan'!AF53</f>
        <v>0</v>
      </c>
      <c r="M53" s="10">
        <f>'4. Isi Produksi Ikan'!AI53</f>
        <v>0</v>
      </c>
      <c r="N53" s="10">
        <f>'4. Isi Produksi Ikan'!AL53</f>
        <v>0</v>
      </c>
      <c r="O53" s="10">
        <f>'4. Isi Produksi Ikan'!AO53</f>
        <v>0</v>
      </c>
      <c r="P53" s="10">
        <f>'4. Isi Produksi Ikan'!AR53</f>
        <v>0</v>
      </c>
      <c r="Q53" s="29">
        <f t="shared" si="3"/>
        <v>0</v>
      </c>
    </row>
    <row r="54" spans="1:17" x14ac:dyDescent="0.2">
      <c r="A54" s="14" t="s">
        <v>31</v>
      </c>
      <c r="B54" s="14" t="s">
        <v>96</v>
      </c>
      <c r="C54" s="10">
        <f>'4. Isi Produksi Ikan'!E54</f>
        <v>0</v>
      </c>
      <c r="D54" s="10">
        <f>'4. Isi Produksi Ikan'!H54</f>
        <v>0</v>
      </c>
      <c r="E54" s="10">
        <f>'4. Isi Produksi Ikan'!K54</f>
        <v>0</v>
      </c>
      <c r="F54" s="10">
        <f>'4. Isi Produksi Ikan'!N54</f>
        <v>0</v>
      </c>
      <c r="G54" s="10">
        <f>'4. Isi Produksi Ikan'!Q54</f>
        <v>0</v>
      </c>
      <c r="H54" s="10">
        <f>'4. Isi Produksi Ikan'!T54</f>
        <v>0</v>
      </c>
      <c r="I54" s="10">
        <f>'4. Isi Produksi Ikan'!W54</f>
        <v>0</v>
      </c>
      <c r="J54" s="10">
        <f>'4. Isi Produksi Ikan'!Z54</f>
        <v>0</v>
      </c>
      <c r="K54" s="10">
        <f>'4. Isi Produksi Ikan'!AC54</f>
        <v>0</v>
      </c>
      <c r="L54" s="10">
        <f>'4. Isi Produksi Ikan'!AF54</f>
        <v>0</v>
      </c>
      <c r="M54" s="10">
        <f>'4. Isi Produksi Ikan'!AI54</f>
        <v>0</v>
      </c>
      <c r="N54" s="10">
        <f>'4. Isi Produksi Ikan'!AL54</f>
        <v>0</v>
      </c>
      <c r="O54" s="10">
        <f>'4. Isi Produksi Ikan'!AO54</f>
        <v>0</v>
      </c>
      <c r="P54" s="10">
        <f>'4. Isi Produksi Ikan'!AR54</f>
        <v>0</v>
      </c>
      <c r="Q54" s="29">
        <f t="shared" si="3"/>
        <v>0</v>
      </c>
    </row>
    <row r="55" spans="1:17" x14ac:dyDescent="0.2">
      <c r="A55" s="14" t="s">
        <v>31</v>
      </c>
      <c r="B55" s="14" t="s">
        <v>97</v>
      </c>
      <c r="C55" s="10">
        <f>'4. Isi Produksi Ikan'!E55</f>
        <v>0</v>
      </c>
      <c r="D55" s="10">
        <f>'4. Isi Produksi Ikan'!H55</f>
        <v>0</v>
      </c>
      <c r="E55" s="10">
        <f>'4. Isi Produksi Ikan'!K55</f>
        <v>0</v>
      </c>
      <c r="F55" s="10">
        <f>'4. Isi Produksi Ikan'!N55</f>
        <v>0</v>
      </c>
      <c r="G55" s="10">
        <f>'4. Isi Produksi Ikan'!Q55</f>
        <v>0</v>
      </c>
      <c r="H55" s="10">
        <f>'4. Isi Produksi Ikan'!T55</f>
        <v>0</v>
      </c>
      <c r="I55" s="10">
        <f>'4. Isi Produksi Ikan'!W55</f>
        <v>0</v>
      </c>
      <c r="J55" s="10">
        <f>'4. Isi Produksi Ikan'!Z55</f>
        <v>0</v>
      </c>
      <c r="K55" s="10">
        <f>'4. Isi Produksi Ikan'!AC55</f>
        <v>0</v>
      </c>
      <c r="L55" s="10">
        <f>'4. Isi Produksi Ikan'!AF55</f>
        <v>0</v>
      </c>
      <c r="M55" s="10">
        <f>'4. Isi Produksi Ikan'!AI55</f>
        <v>0</v>
      </c>
      <c r="N55" s="10">
        <f>'4. Isi Produksi Ikan'!AL55</f>
        <v>0</v>
      </c>
      <c r="O55" s="10">
        <f>'4. Isi Produksi Ikan'!AO55</f>
        <v>0</v>
      </c>
      <c r="P55" s="10">
        <f>'4. Isi Produksi Ikan'!AR55</f>
        <v>0</v>
      </c>
      <c r="Q55" s="29">
        <f t="shared" si="3"/>
        <v>0</v>
      </c>
    </row>
    <row r="56" spans="1:17" x14ac:dyDescent="0.2">
      <c r="A56" s="14" t="s">
        <v>31</v>
      </c>
      <c r="B56" s="14" t="s">
        <v>98</v>
      </c>
      <c r="C56" s="10">
        <f>'4. Isi Produksi Ikan'!E56</f>
        <v>0</v>
      </c>
      <c r="D56" s="10">
        <f>'4. Isi Produksi Ikan'!H56</f>
        <v>0</v>
      </c>
      <c r="E56" s="10">
        <f>'4. Isi Produksi Ikan'!K56</f>
        <v>0</v>
      </c>
      <c r="F56" s="10">
        <f>'4. Isi Produksi Ikan'!N56</f>
        <v>0</v>
      </c>
      <c r="G56" s="10">
        <f>'4. Isi Produksi Ikan'!Q56</f>
        <v>0</v>
      </c>
      <c r="H56" s="10">
        <f>'4. Isi Produksi Ikan'!T56</f>
        <v>0</v>
      </c>
      <c r="I56" s="10">
        <f>'4. Isi Produksi Ikan'!W56</f>
        <v>0</v>
      </c>
      <c r="J56" s="10">
        <f>'4. Isi Produksi Ikan'!Z56</f>
        <v>0</v>
      </c>
      <c r="K56" s="10">
        <f>'4. Isi Produksi Ikan'!AC56</f>
        <v>0</v>
      </c>
      <c r="L56" s="10">
        <f>'4. Isi Produksi Ikan'!AF56</f>
        <v>0</v>
      </c>
      <c r="M56" s="10">
        <f>'4. Isi Produksi Ikan'!AI56</f>
        <v>0</v>
      </c>
      <c r="N56" s="10">
        <f>'4. Isi Produksi Ikan'!AL56</f>
        <v>0</v>
      </c>
      <c r="O56" s="10">
        <f>'4. Isi Produksi Ikan'!AO56</f>
        <v>0</v>
      </c>
      <c r="P56" s="10">
        <f>'4. Isi Produksi Ikan'!AR56</f>
        <v>0</v>
      </c>
      <c r="Q56" s="29">
        <f t="shared" si="3"/>
        <v>0</v>
      </c>
    </row>
    <row r="57" spans="1:17" x14ac:dyDescent="0.2">
      <c r="A57" s="14" t="s">
        <v>31</v>
      </c>
      <c r="B57" s="14" t="s">
        <v>99</v>
      </c>
      <c r="C57" s="10">
        <f>'4. Isi Produksi Ikan'!E57</f>
        <v>0</v>
      </c>
      <c r="D57" s="10">
        <f>'4. Isi Produksi Ikan'!H57</f>
        <v>0</v>
      </c>
      <c r="E57" s="10">
        <f>'4. Isi Produksi Ikan'!K57</f>
        <v>0</v>
      </c>
      <c r="F57" s="10">
        <f>'4. Isi Produksi Ikan'!N57</f>
        <v>0</v>
      </c>
      <c r="G57" s="10">
        <f>'4. Isi Produksi Ikan'!Q57</f>
        <v>0</v>
      </c>
      <c r="H57" s="10">
        <f>'4. Isi Produksi Ikan'!T57</f>
        <v>0</v>
      </c>
      <c r="I57" s="10">
        <f>'4. Isi Produksi Ikan'!W57</f>
        <v>0</v>
      </c>
      <c r="J57" s="10">
        <f>'4. Isi Produksi Ikan'!Z57</f>
        <v>0</v>
      </c>
      <c r="K57" s="10">
        <f>'4. Isi Produksi Ikan'!AC57</f>
        <v>0</v>
      </c>
      <c r="L57" s="10">
        <f>'4. Isi Produksi Ikan'!AF57</f>
        <v>0</v>
      </c>
      <c r="M57" s="10">
        <f>'4. Isi Produksi Ikan'!AI57</f>
        <v>0</v>
      </c>
      <c r="N57" s="10">
        <f>'4. Isi Produksi Ikan'!AL57</f>
        <v>0</v>
      </c>
      <c r="O57" s="10">
        <f>'4. Isi Produksi Ikan'!AO57</f>
        <v>0</v>
      </c>
      <c r="P57" s="10">
        <f>'4. Isi Produksi Ikan'!AR57</f>
        <v>0</v>
      </c>
      <c r="Q57" s="29">
        <f t="shared" si="3"/>
        <v>0</v>
      </c>
    </row>
    <row r="58" spans="1:17" x14ac:dyDescent="0.2">
      <c r="A58" s="14" t="s">
        <v>31</v>
      </c>
      <c r="B58" s="14" t="s">
        <v>100</v>
      </c>
      <c r="C58" s="10">
        <f>'4. Isi Produksi Ikan'!E58</f>
        <v>0</v>
      </c>
      <c r="D58" s="10">
        <f>'4. Isi Produksi Ikan'!H58</f>
        <v>0</v>
      </c>
      <c r="E58" s="10">
        <f>'4. Isi Produksi Ikan'!K58</f>
        <v>0</v>
      </c>
      <c r="F58" s="10">
        <f>'4. Isi Produksi Ikan'!N58</f>
        <v>0</v>
      </c>
      <c r="G58" s="10">
        <f>'4. Isi Produksi Ikan'!Q58</f>
        <v>0</v>
      </c>
      <c r="H58" s="10">
        <f>'4. Isi Produksi Ikan'!T58</f>
        <v>0</v>
      </c>
      <c r="I58" s="10">
        <f>'4. Isi Produksi Ikan'!W58</f>
        <v>0</v>
      </c>
      <c r="J58" s="10">
        <f>'4. Isi Produksi Ikan'!Z58</f>
        <v>0</v>
      </c>
      <c r="K58" s="10">
        <f>'4. Isi Produksi Ikan'!AC58</f>
        <v>0</v>
      </c>
      <c r="L58" s="10">
        <f>'4. Isi Produksi Ikan'!AF58</f>
        <v>0</v>
      </c>
      <c r="M58" s="10">
        <f>'4. Isi Produksi Ikan'!AI58</f>
        <v>0</v>
      </c>
      <c r="N58" s="10">
        <f>'4. Isi Produksi Ikan'!AL58</f>
        <v>0</v>
      </c>
      <c r="O58" s="10">
        <f>'4. Isi Produksi Ikan'!AO58</f>
        <v>0</v>
      </c>
      <c r="P58" s="10">
        <f>'4. Isi Produksi Ikan'!AR58</f>
        <v>0</v>
      </c>
      <c r="Q58" s="29">
        <f t="shared" si="3"/>
        <v>0</v>
      </c>
    </row>
    <row r="59" spans="1:17" x14ac:dyDescent="0.2">
      <c r="A59" s="14" t="s">
        <v>31</v>
      </c>
      <c r="B59" s="14" t="s">
        <v>101</v>
      </c>
      <c r="C59" s="10">
        <f>'4. Isi Produksi Ikan'!E59</f>
        <v>0</v>
      </c>
      <c r="D59" s="10">
        <f>'4. Isi Produksi Ikan'!H59</f>
        <v>0</v>
      </c>
      <c r="E59" s="10">
        <f>'4. Isi Produksi Ikan'!K59</f>
        <v>0</v>
      </c>
      <c r="F59" s="10">
        <f>'4. Isi Produksi Ikan'!N59</f>
        <v>0</v>
      </c>
      <c r="G59" s="10">
        <f>'4. Isi Produksi Ikan'!Q59</f>
        <v>0</v>
      </c>
      <c r="H59" s="10">
        <f>'4. Isi Produksi Ikan'!T59</f>
        <v>0</v>
      </c>
      <c r="I59" s="10">
        <f>'4. Isi Produksi Ikan'!W59</f>
        <v>0</v>
      </c>
      <c r="J59" s="10">
        <f>'4. Isi Produksi Ikan'!Z59</f>
        <v>0</v>
      </c>
      <c r="K59" s="10">
        <f>'4. Isi Produksi Ikan'!AC59</f>
        <v>0</v>
      </c>
      <c r="L59" s="10">
        <f>'4. Isi Produksi Ikan'!AF59</f>
        <v>0</v>
      </c>
      <c r="M59" s="10">
        <f>'4. Isi Produksi Ikan'!AI59</f>
        <v>0</v>
      </c>
      <c r="N59" s="10">
        <f>'4. Isi Produksi Ikan'!AL59</f>
        <v>0</v>
      </c>
      <c r="O59" s="10">
        <f>'4. Isi Produksi Ikan'!AO59</f>
        <v>0</v>
      </c>
      <c r="P59" s="10">
        <f>'4. Isi Produksi Ikan'!AR59</f>
        <v>0</v>
      </c>
      <c r="Q59" s="29">
        <f t="shared" si="3"/>
        <v>0</v>
      </c>
    </row>
    <row r="60" spans="1:17" x14ac:dyDescent="0.2">
      <c r="A60" s="14" t="s">
        <v>31</v>
      </c>
      <c r="B60" s="14" t="s">
        <v>102</v>
      </c>
      <c r="C60" s="10">
        <f>'4. Isi Produksi Ikan'!E60</f>
        <v>0</v>
      </c>
      <c r="D60" s="10">
        <f>'4. Isi Produksi Ikan'!H60</f>
        <v>0</v>
      </c>
      <c r="E60" s="10">
        <f>'4. Isi Produksi Ikan'!K60</f>
        <v>0</v>
      </c>
      <c r="F60" s="10">
        <f>'4. Isi Produksi Ikan'!N60</f>
        <v>0</v>
      </c>
      <c r="G60" s="10">
        <f>'4. Isi Produksi Ikan'!Q60</f>
        <v>0</v>
      </c>
      <c r="H60" s="10">
        <f>'4. Isi Produksi Ikan'!T60</f>
        <v>0</v>
      </c>
      <c r="I60" s="10">
        <f>'4. Isi Produksi Ikan'!W60</f>
        <v>0</v>
      </c>
      <c r="J60" s="10">
        <f>'4. Isi Produksi Ikan'!Z60</f>
        <v>0</v>
      </c>
      <c r="K60" s="10">
        <f>'4. Isi Produksi Ikan'!AC60</f>
        <v>0</v>
      </c>
      <c r="L60" s="10">
        <f>'4. Isi Produksi Ikan'!AF60</f>
        <v>0</v>
      </c>
      <c r="M60" s="10">
        <f>'4. Isi Produksi Ikan'!AI60</f>
        <v>0</v>
      </c>
      <c r="N60" s="10">
        <f>'4. Isi Produksi Ikan'!AL60</f>
        <v>0</v>
      </c>
      <c r="O60" s="10">
        <f>'4. Isi Produksi Ikan'!AO60</f>
        <v>0</v>
      </c>
      <c r="P60" s="10">
        <f>'4. Isi Produksi Ikan'!AR60</f>
        <v>0</v>
      </c>
      <c r="Q60" s="29">
        <f t="shared" si="3"/>
        <v>0</v>
      </c>
    </row>
    <row r="61" spans="1:17" x14ac:dyDescent="0.2">
      <c r="A61" s="14" t="s">
        <v>31</v>
      </c>
      <c r="B61" s="14" t="s">
        <v>103</v>
      </c>
      <c r="C61" s="10">
        <f>'4. Isi Produksi Ikan'!E61</f>
        <v>0</v>
      </c>
      <c r="D61" s="10">
        <f>'4. Isi Produksi Ikan'!H61</f>
        <v>0</v>
      </c>
      <c r="E61" s="10">
        <f>'4. Isi Produksi Ikan'!K61</f>
        <v>0</v>
      </c>
      <c r="F61" s="10">
        <f>'4. Isi Produksi Ikan'!N61</f>
        <v>0</v>
      </c>
      <c r="G61" s="10">
        <f>'4. Isi Produksi Ikan'!Q61</f>
        <v>0</v>
      </c>
      <c r="H61" s="10">
        <f>'4. Isi Produksi Ikan'!T61</f>
        <v>0</v>
      </c>
      <c r="I61" s="10">
        <f>'4. Isi Produksi Ikan'!W61</f>
        <v>0</v>
      </c>
      <c r="J61" s="10">
        <f>'4. Isi Produksi Ikan'!Z61</f>
        <v>0</v>
      </c>
      <c r="K61" s="10">
        <f>'4. Isi Produksi Ikan'!AC61</f>
        <v>0</v>
      </c>
      <c r="L61" s="10">
        <f>'4. Isi Produksi Ikan'!AF61</f>
        <v>0</v>
      </c>
      <c r="M61" s="10">
        <f>'4. Isi Produksi Ikan'!AI61</f>
        <v>0</v>
      </c>
      <c r="N61" s="10">
        <f>'4. Isi Produksi Ikan'!AL61</f>
        <v>0</v>
      </c>
      <c r="O61" s="10">
        <f>'4. Isi Produksi Ikan'!AO61</f>
        <v>0</v>
      </c>
      <c r="P61" s="10">
        <f>'4. Isi Produksi Ikan'!AR61</f>
        <v>0</v>
      </c>
      <c r="Q61" s="29">
        <f t="shared" si="3"/>
        <v>0</v>
      </c>
    </row>
    <row r="62" spans="1:17" x14ac:dyDescent="0.2">
      <c r="A62" s="14" t="s">
        <v>31</v>
      </c>
      <c r="B62" s="14" t="s">
        <v>104</v>
      </c>
      <c r="C62" s="10">
        <f>'4. Isi Produksi Ikan'!E62</f>
        <v>0</v>
      </c>
      <c r="D62" s="10">
        <f>'4. Isi Produksi Ikan'!H62</f>
        <v>0</v>
      </c>
      <c r="E62" s="10">
        <f>'4. Isi Produksi Ikan'!K62</f>
        <v>0</v>
      </c>
      <c r="F62" s="10">
        <f>'4. Isi Produksi Ikan'!N62</f>
        <v>0</v>
      </c>
      <c r="G62" s="10">
        <f>'4. Isi Produksi Ikan'!Q62</f>
        <v>0</v>
      </c>
      <c r="H62" s="10">
        <f>'4. Isi Produksi Ikan'!T62</f>
        <v>0</v>
      </c>
      <c r="I62" s="10">
        <f>'4. Isi Produksi Ikan'!W62</f>
        <v>0</v>
      </c>
      <c r="J62" s="10">
        <f>'4. Isi Produksi Ikan'!Z62</f>
        <v>0</v>
      </c>
      <c r="K62" s="10">
        <f>'4. Isi Produksi Ikan'!AC62</f>
        <v>0</v>
      </c>
      <c r="L62" s="10">
        <f>'4. Isi Produksi Ikan'!AF62</f>
        <v>0</v>
      </c>
      <c r="M62" s="10">
        <f>'4. Isi Produksi Ikan'!AI62</f>
        <v>0</v>
      </c>
      <c r="N62" s="10">
        <f>'4. Isi Produksi Ikan'!AL62</f>
        <v>0</v>
      </c>
      <c r="O62" s="10">
        <f>'4. Isi Produksi Ikan'!AO62</f>
        <v>0</v>
      </c>
      <c r="P62" s="10">
        <f>'4. Isi Produksi Ikan'!AR62</f>
        <v>0</v>
      </c>
      <c r="Q62" s="29">
        <f t="shared" si="3"/>
        <v>0</v>
      </c>
    </row>
    <row r="63" spans="1:17" x14ac:dyDescent="0.2">
      <c r="A63" s="14" t="s">
        <v>31</v>
      </c>
      <c r="B63" s="14" t="s">
        <v>105</v>
      </c>
      <c r="C63" s="10">
        <f>'4. Isi Produksi Ikan'!E63</f>
        <v>0</v>
      </c>
      <c r="D63" s="10">
        <f>'4. Isi Produksi Ikan'!H63</f>
        <v>0</v>
      </c>
      <c r="E63" s="10">
        <f>'4. Isi Produksi Ikan'!K63</f>
        <v>0</v>
      </c>
      <c r="F63" s="10">
        <f>'4. Isi Produksi Ikan'!N63</f>
        <v>0</v>
      </c>
      <c r="G63" s="10">
        <f>'4. Isi Produksi Ikan'!Q63</f>
        <v>0</v>
      </c>
      <c r="H63" s="10">
        <f>'4. Isi Produksi Ikan'!T63</f>
        <v>0</v>
      </c>
      <c r="I63" s="10">
        <f>'4. Isi Produksi Ikan'!W63</f>
        <v>0</v>
      </c>
      <c r="J63" s="10">
        <f>'4. Isi Produksi Ikan'!Z63</f>
        <v>0</v>
      </c>
      <c r="K63" s="10">
        <f>'4. Isi Produksi Ikan'!AC63</f>
        <v>0</v>
      </c>
      <c r="L63" s="10">
        <f>'4. Isi Produksi Ikan'!AF63</f>
        <v>0</v>
      </c>
      <c r="M63" s="10">
        <f>'4. Isi Produksi Ikan'!AI63</f>
        <v>0</v>
      </c>
      <c r="N63" s="10">
        <f>'4. Isi Produksi Ikan'!AL63</f>
        <v>0</v>
      </c>
      <c r="O63" s="10">
        <f>'4. Isi Produksi Ikan'!AO63</f>
        <v>0</v>
      </c>
      <c r="P63" s="10">
        <f>'4. Isi Produksi Ikan'!AR63</f>
        <v>0</v>
      </c>
      <c r="Q63" s="29">
        <f t="shared" si="3"/>
        <v>0</v>
      </c>
    </row>
    <row r="64" spans="1:17" x14ac:dyDescent="0.2">
      <c r="A64" s="14" t="s">
        <v>31</v>
      </c>
      <c r="B64" s="14" t="s">
        <v>106</v>
      </c>
      <c r="C64" s="10">
        <f>'4. Isi Produksi Ikan'!E64</f>
        <v>0</v>
      </c>
      <c r="D64" s="10">
        <f>'4. Isi Produksi Ikan'!H64</f>
        <v>0</v>
      </c>
      <c r="E64" s="10">
        <f>'4. Isi Produksi Ikan'!K64</f>
        <v>0</v>
      </c>
      <c r="F64" s="10">
        <f>'4. Isi Produksi Ikan'!N64</f>
        <v>0</v>
      </c>
      <c r="G64" s="10">
        <f>'4. Isi Produksi Ikan'!Q64</f>
        <v>0</v>
      </c>
      <c r="H64" s="10">
        <f>'4. Isi Produksi Ikan'!T64</f>
        <v>0</v>
      </c>
      <c r="I64" s="10">
        <f>'4. Isi Produksi Ikan'!W64</f>
        <v>0</v>
      </c>
      <c r="J64" s="10">
        <f>'4. Isi Produksi Ikan'!Z64</f>
        <v>0</v>
      </c>
      <c r="K64" s="10">
        <f>'4. Isi Produksi Ikan'!AC64</f>
        <v>0</v>
      </c>
      <c r="L64" s="10">
        <f>'4. Isi Produksi Ikan'!AF64</f>
        <v>0</v>
      </c>
      <c r="M64" s="10">
        <f>'4. Isi Produksi Ikan'!AI64</f>
        <v>0</v>
      </c>
      <c r="N64" s="10">
        <f>'4. Isi Produksi Ikan'!AL64</f>
        <v>0</v>
      </c>
      <c r="O64" s="10">
        <f>'4. Isi Produksi Ikan'!AO64</f>
        <v>0</v>
      </c>
      <c r="P64" s="10">
        <f>'4. Isi Produksi Ikan'!AR64</f>
        <v>0</v>
      </c>
      <c r="Q64" s="29">
        <f t="shared" si="3"/>
        <v>0</v>
      </c>
    </row>
    <row r="65" spans="1:17" x14ac:dyDescent="0.2">
      <c r="A65" s="14" t="s">
        <v>31</v>
      </c>
      <c r="B65" s="14" t="s">
        <v>107</v>
      </c>
      <c r="C65" s="10">
        <f>'4. Isi Produksi Ikan'!E65</f>
        <v>0</v>
      </c>
      <c r="D65" s="10">
        <f>'4. Isi Produksi Ikan'!H65</f>
        <v>0</v>
      </c>
      <c r="E65" s="10">
        <f>'4. Isi Produksi Ikan'!K65</f>
        <v>0</v>
      </c>
      <c r="F65" s="10">
        <f>'4. Isi Produksi Ikan'!N65</f>
        <v>0</v>
      </c>
      <c r="G65" s="10">
        <f>'4. Isi Produksi Ikan'!Q65</f>
        <v>0</v>
      </c>
      <c r="H65" s="10">
        <f>'4. Isi Produksi Ikan'!T65</f>
        <v>0</v>
      </c>
      <c r="I65" s="10">
        <f>'4. Isi Produksi Ikan'!W65</f>
        <v>0</v>
      </c>
      <c r="J65" s="10">
        <f>'4. Isi Produksi Ikan'!Z65</f>
        <v>0</v>
      </c>
      <c r="K65" s="10">
        <f>'4. Isi Produksi Ikan'!AC65</f>
        <v>0</v>
      </c>
      <c r="L65" s="10">
        <f>'4. Isi Produksi Ikan'!AF65</f>
        <v>0</v>
      </c>
      <c r="M65" s="10">
        <f>'4. Isi Produksi Ikan'!AI65</f>
        <v>0</v>
      </c>
      <c r="N65" s="10">
        <f>'4. Isi Produksi Ikan'!AL65</f>
        <v>0</v>
      </c>
      <c r="O65" s="10">
        <f>'4. Isi Produksi Ikan'!AO65</f>
        <v>0</v>
      </c>
      <c r="P65" s="10">
        <f>'4. Isi Produksi Ikan'!AR65</f>
        <v>0</v>
      </c>
      <c r="Q65" s="29">
        <f t="shared" si="3"/>
        <v>0</v>
      </c>
    </row>
    <row r="66" spans="1:17" x14ac:dyDescent="0.2">
      <c r="A66" s="14" t="s">
        <v>31</v>
      </c>
      <c r="B66" s="14" t="s">
        <v>108</v>
      </c>
      <c r="C66" s="10">
        <f>'4. Isi Produksi Ikan'!E66</f>
        <v>0</v>
      </c>
      <c r="D66" s="10">
        <f>'4. Isi Produksi Ikan'!H66</f>
        <v>0</v>
      </c>
      <c r="E66" s="10">
        <f>'4. Isi Produksi Ikan'!K66</f>
        <v>0</v>
      </c>
      <c r="F66" s="10">
        <f>'4. Isi Produksi Ikan'!N66</f>
        <v>0</v>
      </c>
      <c r="G66" s="10">
        <f>'4. Isi Produksi Ikan'!Q66</f>
        <v>0</v>
      </c>
      <c r="H66" s="10">
        <f>'4. Isi Produksi Ikan'!T66</f>
        <v>0</v>
      </c>
      <c r="I66" s="10">
        <f>'4. Isi Produksi Ikan'!W66</f>
        <v>0</v>
      </c>
      <c r="J66" s="10">
        <f>'4. Isi Produksi Ikan'!Z66</f>
        <v>0</v>
      </c>
      <c r="K66" s="10">
        <f>'4. Isi Produksi Ikan'!AC66</f>
        <v>0</v>
      </c>
      <c r="L66" s="10">
        <f>'4. Isi Produksi Ikan'!AF66</f>
        <v>0</v>
      </c>
      <c r="M66" s="10">
        <f>'4. Isi Produksi Ikan'!AI66</f>
        <v>0</v>
      </c>
      <c r="N66" s="10">
        <f>'4. Isi Produksi Ikan'!AL66</f>
        <v>0</v>
      </c>
      <c r="O66" s="10">
        <f>'4. Isi Produksi Ikan'!AO66</f>
        <v>0</v>
      </c>
      <c r="P66" s="10">
        <f>'4. Isi Produksi Ikan'!AR66</f>
        <v>0</v>
      </c>
      <c r="Q66" s="29">
        <f t="shared" si="3"/>
        <v>0</v>
      </c>
    </row>
    <row r="67" spans="1:17" x14ac:dyDescent="0.2">
      <c r="A67" s="14" t="s">
        <v>31</v>
      </c>
      <c r="B67" s="14" t="s">
        <v>109</v>
      </c>
      <c r="C67" s="10">
        <f>'4. Isi Produksi Ikan'!E67</f>
        <v>0</v>
      </c>
      <c r="D67" s="10">
        <f>'4. Isi Produksi Ikan'!H67</f>
        <v>0</v>
      </c>
      <c r="E67" s="10">
        <f>'4. Isi Produksi Ikan'!K67</f>
        <v>0</v>
      </c>
      <c r="F67" s="10">
        <f>'4. Isi Produksi Ikan'!N67</f>
        <v>0</v>
      </c>
      <c r="G67" s="10">
        <f>'4. Isi Produksi Ikan'!Q67</f>
        <v>0</v>
      </c>
      <c r="H67" s="10">
        <f>'4. Isi Produksi Ikan'!T67</f>
        <v>0</v>
      </c>
      <c r="I67" s="10">
        <f>'4. Isi Produksi Ikan'!W67</f>
        <v>0</v>
      </c>
      <c r="J67" s="10">
        <f>'4. Isi Produksi Ikan'!Z67</f>
        <v>0</v>
      </c>
      <c r="K67" s="10">
        <f>'4. Isi Produksi Ikan'!AC67</f>
        <v>0</v>
      </c>
      <c r="L67" s="10">
        <f>'4. Isi Produksi Ikan'!AF67</f>
        <v>0</v>
      </c>
      <c r="M67" s="10">
        <f>'4. Isi Produksi Ikan'!AI67</f>
        <v>0</v>
      </c>
      <c r="N67" s="10">
        <f>'4. Isi Produksi Ikan'!AL67</f>
        <v>0</v>
      </c>
      <c r="O67" s="10">
        <f>'4. Isi Produksi Ikan'!AO67</f>
        <v>0</v>
      </c>
      <c r="P67" s="10">
        <f>'4. Isi Produksi Ikan'!AR67</f>
        <v>0</v>
      </c>
      <c r="Q67" s="29">
        <f t="shared" si="3"/>
        <v>0</v>
      </c>
    </row>
    <row r="68" spans="1:17" x14ac:dyDescent="0.2">
      <c r="A68" s="14" t="s">
        <v>31</v>
      </c>
      <c r="B68" s="14" t="s">
        <v>110</v>
      </c>
      <c r="C68" s="10">
        <f>'4. Isi Produksi Ikan'!E68</f>
        <v>0</v>
      </c>
      <c r="D68" s="10">
        <f>'4. Isi Produksi Ikan'!H68</f>
        <v>0</v>
      </c>
      <c r="E68" s="10">
        <f>'4. Isi Produksi Ikan'!K68</f>
        <v>0</v>
      </c>
      <c r="F68" s="10">
        <f>'4. Isi Produksi Ikan'!N68</f>
        <v>0</v>
      </c>
      <c r="G68" s="10">
        <f>'4. Isi Produksi Ikan'!Q68</f>
        <v>0</v>
      </c>
      <c r="H68" s="10">
        <f>'4. Isi Produksi Ikan'!T68</f>
        <v>0</v>
      </c>
      <c r="I68" s="10">
        <f>'4. Isi Produksi Ikan'!W68</f>
        <v>0</v>
      </c>
      <c r="J68" s="10">
        <f>'4. Isi Produksi Ikan'!Z68</f>
        <v>0</v>
      </c>
      <c r="K68" s="10">
        <f>'4. Isi Produksi Ikan'!AC68</f>
        <v>0</v>
      </c>
      <c r="L68" s="10">
        <f>'4. Isi Produksi Ikan'!AF68</f>
        <v>0</v>
      </c>
      <c r="M68" s="10">
        <f>'4. Isi Produksi Ikan'!AI68</f>
        <v>0</v>
      </c>
      <c r="N68" s="10">
        <f>'4. Isi Produksi Ikan'!AL68</f>
        <v>0</v>
      </c>
      <c r="O68" s="10">
        <f>'4. Isi Produksi Ikan'!AO68</f>
        <v>0</v>
      </c>
      <c r="P68" s="10">
        <f>'4. Isi Produksi Ikan'!AR68</f>
        <v>0</v>
      </c>
      <c r="Q68" s="29">
        <f t="shared" si="3"/>
        <v>0</v>
      </c>
    </row>
    <row r="69" spans="1:17" x14ac:dyDescent="0.2">
      <c r="A69" s="14" t="s">
        <v>31</v>
      </c>
      <c r="B69" s="14" t="s">
        <v>111</v>
      </c>
      <c r="C69" s="10">
        <f>'4. Isi Produksi Ikan'!E69</f>
        <v>0</v>
      </c>
      <c r="D69" s="10">
        <f>'4. Isi Produksi Ikan'!H69</f>
        <v>0</v>
      </c>
      <c r="E69" s="10">
        <f>'4. Isi Produksi Ikan'!K69</f>
        <v>0</v>
      </c>
      <c r="F69" s="10">
        <f>'4. Isi Produksi Ikan'!N69</f>
        <v>0</v>
      </c>
      <c r="G69" s="10">
        <f>'4. Isi Produksi Ikan'!Q69</f>
        <v>0</v>
      </c>
      <c r="H69" s="10">
        <f>'4. Isi Produksi Ikan'!T69</f>
        <v>0</v>
      </c>
      <c r="I69" s="10">
        <f>'4. Isi Produksi Ikan'!W69</f>
        <v>0</v>
      </c>
      <c r="J69" s="10">
        <f>'4. Isi Produksi Ikan'!Z69</f>
        <v>0</v>
      </c>
      <c r="K69" s="10">
        <f>'4. Isi Produksi Ikan'!AC69</f>
        <v>0</v>
      </c>
      <c r="L69" s="10">
        <f>'4. Isi Produksi Ikan'!AF69</f>
        <v>0</v>
      </c>
      <c r="M69" s="10">
        <f>'4. Isi Produksi Ikan'!AI69</f>
        <v>0</v>
      </c>
      <c r="N69" s="10">
        <f>'4. Isi Produksi Ikan'!AL69</f>
        <v>0</v>
      </c>
      <c r="O69" s="10">
        <f>'4. Isi Produksi Ikan'!AO69</f>
        <v>0</v>
      </c>
      <c r="P69" s="10">
        <f>'4. Isi Produksi Ikan'!AR69</f>
        <v>0</v>
      </c>
      <c r="Q69" s="29">
        <f t="shared" si="3"/>
        <v>0</v>
      </c>
    </row>
    <row r="70" spans="1:17" x14ac:dyDescent="0.2">
      <c r="A70" s="14" t="s">
        <v>31</v>
      </c>
      <c r="B70" s="14" t="s">
        <v>112</v>
      </c>
      <c r="C70" s="10">
        <f>'4. Isi Produksi Ikan'!E70</f>
        <v>0</v>
      </c>
      <c r="D70" s="10">
        <f>'4. Isi Produksi Ikan'!H70</f>
        <v>0</v>
      </c>
      <c r="E70" s="10">
        <f>'4. Isi Produksi Ikan'!K70</f>
        <v>0</v>
      </c>
      <c r="F70" s="10">
        <f>'4. Isi Produksi Ikan'!N70</f>
        <v>0</v>
      </c>
      <c r="G70" s="10">
        <f>'4. Isi Produksi Ikan'!Q70</f>
        <v>0</v>
      </c>
      <c r="H70" s="10">
        <f>'4. Isi Produksi Ikan'!T70</f>
        <v>0</v>
      </c>
      <c r="I70" s="10">
        <f>'4. Isi Produksi Ikan'!W70</f>
        <v>0</v>
      </c>
      <c r="J70" s="10">
        <f>'4. Isi Produksi Ikan'!Z70</f>
        <v>0</v>
      </c>
      <c r="K70" s="10">
        <f>'4. Isi Produksi Ikan'!AC70</f>
        <v>0</v>
      </c>
      <c r="L70" s="10">
        <f>'4. Isi Produksi Ikan'!AF70</f>
        <v>0</v>
      </c>
      <c r="M70" s="10">
        <f>'4. Isi Produksi Ikan'!AI70</f>
        <v>0</v>
      </c>
      <c r="N70" s="10">
        <f>'4. Isi Produksi Ikan'!AL70</f>
        <v>0</v>
      </c>
      <c r="O70" s="10">
        <f>'4. Isi Produksi Ikan'!AO70</f>
        <v>0</v>
      </c>
      <c r="P70" s="10">
        <f>'4. Isi Produksi Ikan'!AR70</f>
        <v>0</v>
      </c>
      <c r="Q70" s="29">
        <f t="shared" si="3"/>
        <v>0</v>
      </c>
    </row>
    <row r="71" spans="1:17" x14ac:dyDescent="0.2">
      <c r="A71" s="14" t="s">
        <v>31</v>
      </c>
      <c r="B71" s="14" t="s">
        <v>113</v>
      </c>
      <c r="C71" s="10">
        <f>'4. Isi Produksi Ikan'!E71</f>
        <v>0</v>
      </c>
      <c r="D71" s="10">
        <f>'4. Isi Produksi Ikan'!H71</f>
        <v>0</v>
      </c>
      <c r="E71" s="10">
        <f>'4. Isi Produksi Ikan'!K71</f>
        <v>0</v>
      </c>
      <c r="F71" s="10">
        <f>'4. Isi Produksi Ikan'!N71</f>
        <v>0</v>
      </c>
      <c r="G71" s="10">
        <f>'4. Isi Produksi Ikan'!Q71</f>
        <v>0</v>
      </c>
      <c r="H71" s="10">
        <f>'4. Isi Produksi Ikan'!T71</f>
        <v>0</v>
      </c>
      <c r="I71" s="10">
        <f>'4. Isi Produksi Ikan'!W71</f>
        <v>0</v>
      </c>
      <c r="J71" s="10">
        <f>'4. Isi Produksi Ikan'!Z71</f>
        <v>0</v>
      </c>
      <c r="K71" s="10">
        <f>'4. Isi Produksi Ikan'!AC71</f>
        <v>0</v>
      </c>
      <c r="L71" s="10">
        <f>'4. Isi Produksi Ikan'!AF71</f>
        <v>0</v>
      </c>
      <c r="M71" s="10">
        <f>'4. Isi Produksi Ikan'!AI71</f>
        <v>0</v>
      </c>
      <c r="N71" s="10">
        <f>'4. Isi Produksi Ikan'!AL71</f>
        <v>0</v>
      </c>
      <c r="O71" s="10">
        <f>'4. Isi Produksi Ikan'!AO71</f>
        <v>0</v>
      </c>
      <c r="P71" s="10">
        <f>'4. Isi Produksi Ikan'!AR71</f>
        <v>0</v>
      </c>
      <c r="Q71" s="29">
        <f t="shared" si="3"/>
        <v>0</v>
      </c>
    </row>
    <row r="72" spans="1:17" x14ac:dyDescent="0.2">
      <c r="A72" s="14" t="s">
        <v>31</v>
      </c>
      <c r="B72" s="14" t="s">
        <v>114</v>
      </c>
      <c r="C72" s="10">
        <f>'4. Isi Produksi Ikan'!E72</f>
        <v>0</v>
      </c>
      <c r="D72" s="10">
        <f>'4. Isi Produksi Ikan'!H72</f>
        <v>0</v>
      </c>
      <c r="E72" s="10">
        <f>'4. Isi Produksi Ikan'!K72</f>
        <v>0</v>
      </c>
      <c r="F72" s="10">
        <f>'4. Isi Produksi Ikan'!N72</f>
        <v>0</v>
      </c>
      <c r="G72" s="10">
        <f>'4. Isi Produksi Ikan'!Q72</f>
        <v>0</v>
      </c>
      <c r="H72" s="10">
        <f>'4. Isi Produksi Ikan'!T72</f>
        <v>0</v>
      </c>
      <c r="I72" s="10">
        <f>'4. Isi Produksi Ikan'!W72</f>
        <v>0</v>
      </c>
      <c r="J72" s="10">
        <f>'4. Isi Produksi Ikan'!Z72</f>
        <v>0</v>
      </c>
      <c r="K72" s="10">
        <f>'4. Isi Produksi Ikan'!AC72</f>
        <v>0</v>
      </c>
      <c r="L72" s="10">
        <f>'4. Isi Produksi Ikan'!AF72</f>
        <v>0</v>
      </c>
      <c r="M72" s="10">
        <f>'4. Isi Produksi Ikan'!AI72</f>
        <v>0</v>
      </c>
      <c r="N72" s="10">
        <f>'4. Isi Produksi Ikan'!AL72</f>
        <v>0</v>
      </c>
      <c r="O72" s="10">
        <f>'4. Isi Produksi Ikan'!AO72</f>
        <v>0</v>
      </c>
      <c r="P72" s="10">
        <f>'4. Isi Produksi Ikan'!AR72</f>
        <v>0</v>
      </c>
      <c r="Q72" s="29">
        <f t="shared" si="3"/>
        <v>0</v>
      </c>
    </row>
    <row r="73" spans="1:17" x14ac:dyDescent="0.2">
      <c r="A73" s="14" t="s">
        <v>31</v>
      </c>
      <c r="B73" s="14" t="s">
        <v>115</v>
      </c>
      <c r="C73" s="10">
        <f>'4. Isi Produksi Ikan'!E73</f>
        <v>0</v>
      </c>
      <c r="D73" s="10">
        <f>'4. Isi Produksi Ikan'!H73</f>
        <v>0</v>
      </c>
      <c r="E73" s="10">
        <f>'4. Isi Produksi Ikan'!K73</f>
        <v>0</v>
      </c>
      <c r="F73" s="10">
        <f>'4. Isi Produksi Ikan'!N73</f>
        <v>0</v>
      </c>
      <c r="G73" s="10">
        <f>'4. Isi Produksi Ikan'!Q73</f>
        <v>0</v>
      </c>
      <c r="H73" s="10">
        <f>'4. Isi Produksi Ikan'!T73</f>
        <v>0</v>
      </c>
      <c r="I73" s="10">
        <f>'4. Isi Produksi Ikan'!W73</f>
        <v>0</v>
      </c>
      <c r="J73" s="10">
        <f>'4. Isi Produksi Ikan'!Z73</f>
        <v>0</v>
      </c>
      <c r="K73" s="10">
        <f>'4. Isi Produksi Ikan'!AC73</f>
        <v>0</v>
      </c>
      <c r="L73" s="10">
        <f>'4. Isi Produksi Ikan'!AF73</f>
        <v>0</v>
      </c>
      <c r="M73" s="10">
        <f>'4. Isi Produksi Ikan'!AI73</f>
        <v>0</v>
      </c>
      <c r="N73" s="10">
        <f>'4. Isi Produksi Ikan'!AL73</f>
        <v>0</v>
      </c>
      <c r="O73" s="10">
        <f>'4. Isi Produksi Ikan'!AO73</f>
        <v>0</v>
      </c>
      <c r="P73" s="10">
        <f>'4. Isi Produksi Ikan'!AR73</f>
        <v>0</v>
      </c>
      <c r="Q73" s="29">
        <f t="shared" ref="Q73:Q87" si="4">SUM(C73:P73)</f>
        <v>0</v>
      </c>
    </row>
    <row r="74" spans="1:17" x14ac:dyDescent="0.2">
      <c r="A74" s="14" t="s">
        <v>31</v>
      </c>
      <c r="B74" s="14" t="s">
        <v>116</v>
      </c>
      <c r="C74" s="10">
        <f>'4. Isi Produksi Ikan'!E74</f>
        <v>0</v>
      </c>
      <c r="D74" s="10">
        <f>'4. Isi Produksi Ikan'!H74</f>
        <v>0</v>
      </c>
      <c r="E74" s="10">
        <f>'4. Isi Produksi Ikan'!K74</f>
        <v>0</v>
      </c>
      <c r="F74" s="10">
        <f>'4. Isi Produksi Ikan'!N74</f>
        <v>0</v>
      </c>
      <c r="G74" s="10">
        <f>'4. Isi Produksi Ikan'!Q74</f>
        <v>0</v>
      </c>
      <c r="H74" s="10">
        <f>'4. Isi Produksi Ikan'!T74</f>
        <v>0</v>
      </c>
      <c r="I74" s="10">
        <f>'4. Isi Produksi Ikan'!W74</f>
        <v>0</v>
      </c>
      <c r="J74" s="10">
        <f>'4. Isi Produksi Ikan'!Z74</f>
        <v>0</v>
      </c>
      <c r="K74" s="10">
        <f>'4. Isi Produksi Ikan'!AC74</f>
        <v>0</v>
      </c>
      <c r="L74" s="10">
        <f>'4. Isi Produksi Ikan'!AF74</f>
        <v>0</v>
      </c>
      <c r="M74" s="10">
        <f>'4. Isi Produksi Ikan'!AI74</f>
        <v>0</v>
      </c>
      <c r="N74" s="10">
        <f>'4. Isi Produksi Ikan'!AL74</f>
        <v>0</v>
      </c>
      <c r="O74" s="10">
        <f>'4. Isi Produksi Ikan'!AO74</f>
        <v>0</v>
      </c>
      <c r="P74" s="10">
        <f>'4. Isi Produksi Ikan'!AR74</f>
        <v>0</v>
      </c>
      <c r="Q74" s="29">
        <f t="shared" si="4"/>
        <v>0</v>
      </c>
    </row>
    <row r="75" spans="1:17" x14ac:dyDescent="0.2">
      <c r="A75" s="14" t="s">
        <v>31</v>
      </c>
      <c r="B75" s="14" t="s">
        <v>117</v>
      </c>
      <c r="C75" s="10">
        <f>'4. Isi Produksi Ikan'!E75</f>
        <v>0</v>
      </c>
      <c r="D75" s="10">
        <f>'4. Isi Produksi Ikan'!H75</f>
        <v>0</v>
      </c>
      <c r="E75" s="10">
        <f>'4. Isi Produksi Ikan'!K75</f>
        <v>0</v>
      </c>
      <c r="F75" s="10">
        <f>'4. Isi Produksi Ikan'!N75</f>
        <v>0</v>
      </c>
      <c r="G75" s="10">
        <f>'4. Isi Produksi Ikan'!Q75</f>
        <v>0</v>
      </c>
      <c r="H75" s="10">
        <f>'4. Isi Produksi Ikan'!T75</f>
        <v>0</v>
      </c>
      <c r="I75" s="10">
        <f>'4. Isi Produksi Ikan'!W75</f>
        <v>0</v>
      </c>
      <c r="J75" s="10">
        <f>'4. Isi Produksi Ikan'!Z75</f>
        <v>0</v>
      </c>
      <c r="K75" s="10">
        <f>'4. Isi Produksi Ikan'!AC75</f>
        <v>0</v>
      </c>
      <c r="L75" s="10">
        <f>'4. Isi Produksi Ikan'!AF75</f>
        <v>0</v>
      </c>
      <c r="M75" s="10">
        <f>'4. Isi Produksi Ikan'!AI75</f>
        <v>0</v>
      </c>
      <c r="N75" s="10">
        <f>'4. Isi Produksi Ikan'!AL75</f>
        <v>0</v>
      </c>
      <c r="O75" s="10">
        <f>'4. Isi Produksi Ikan'!AO75</f>
        <v>0</v>
      </c>
      <c r="P75" s="10">
        <f>'4. Isi Produksi Ikan'!AR75</f>
        <v>0</v>
      </c>
      <c r="Q75" s="29">
        <f t="shared" si="4"/>
        <v>0</v>
      </c>
    </row>
    <row r="76" spans="1:17" x14ac:dyDescent="0.2">
      <c r="A76" s="14" t="s">
        <v>31</v>
      </c>
      <c r="B76" s="14" t="s">
        <v>118</v>
      </c>
      <c r="C76" s="10">
        <f>'4. Isi Produksi Ikan'!E76</f>
        <v>0</v>
      </c>
      <c r="D76" s="10">
        <f>'4. Isi Produksi Ikan'!H76</f>
        <v>0</v>
      </c>
      <c r="E76" s="10">
        <f>'4. Isi Produksi Ikan'!K76</f>
        <v>0</v>
      </c>
      <c r="F76" s="10">
        <f>'4. Isi Produksi Ikan'!N76</f>
        <v>0</v>
      </c>
      <c r="G76" s="10">
        <f>'4. Isi Produksi Ikan'!Q76</f>
        <v>0</v>
      </c>
      <c r="H76" s="10">
        <f>'4. Isi Produksi Ikan'!T76</f>
        <v>0</v>
      </c>
      <c r="I76" s="10">
        <f>'4. Isi Produksi Ikan'!W76</f>
        <v>0</v>
      </c>
      <c r="J76" s="10">
        <f>'4. Isi Produksi Ikan'!Z76</f>
        <v>0</v>
      </c>
      <c r="K76" s="10">
        <f>'4. Isi Produksi Ikan'!AC76</f>
        <v>0</v>
      </c>
      <c r="L76" s="10">
        <f>'4. Isi Produksi Ikan'!AF76</f>
        <v>0</v>
      </c>
      <c r="M76" s="10">
        <f>'4. Isi Produksi Ikan'!AI76</f>
        <v>0</v>
      </c>
      <c r="N76" s="10">
        <f>'4. Isi Produksi Ikan'!AL76</f>
        <v>0</v>
      </c>
      <c r="O76" s="10">
        <f>'4. Isi Produksi Ikan'!AO76</f>
        <v>0</v>
      </c>
      <c r="P76" s="10">
        <f>'4. Isi Produksi Ikan'!AR76</f>
        <v>0</v>
      </c>
      <c r="Q76" s="29">
        <f t="shared" si="4"/>
        <v>0</v>
      </c>
    </row>
    <row r="77" spans="1:17" x14ac:dyDescent="0.2">
      <c r="A77" s="14" t="s">
        <v>31</v>
      </c>
      <c r="B77" s="14" t="s">
        <v>119</v>
      </c>
      <c r="C77" s="10">
        <f>'4. Isi Produksi Ikan'!E77</f>
        <v>0</v>
      </c>
      <c r="D77" s="10">
        <f>'4. Isi Produksi Ikan'!H77</f>
        <v>0</v>
      </c>
      <c r="E77" s="10">
        <f>'4. Isi Produksi Ikan'!K77</f>
        <v>0</v>
      </c>
      <c r="F77" s="10">
        <f>'4. Isi Produksi Ikan'!N77</f>
        <v>0</v>
      </c>
      <c r="G77" s="10">
        <f>'4. Isi Produksi Ikan'!Q77</f>
        <v>0</v>
      </c>
      <c r="H77" s="10">
        <f>'4. Isi Produksi Ikan'!T77</f>
        <v>0</v>
      </c>
      <c r="I77" s="10">
        <f>'4. Isi Produksi Ikan'!W77</f>
        <v>0</v>
      </c>
      <c r="J77" s="10">
        <f>'4. Isi Produksi Ikan'!Z77</f>
        <v>0</v>
      </c>
      <c r="K77" s="10">
        <f>'4. Isi Produksi Ikan'!AC77</f>
        <v>0</v>
      </c>
      <c r="L77" s="10">
        <f>'4. Isi Produksi Ikan'!AF77</f>
        <v>0</v>
      </c>
      <c r="M77" s="10">
        <f>'4. Isi Produksi Ikan'!AI77</f>
        <v>0</v>
      </c>
      <c r="N77" s="10">
        <f>'4. Isi Produksi Ikan'!AL77</f>
        <v>0</v>
      </c>
      <c r="O77" s="10">
        <f>'4. Isi Produksi Ikan'!AO77</f>
        <v>0</v>
      </c>
      <c r="P77" s="10">
        <f>'4. Isi Produksi Ikan'!AR77</f>
        <v>0</v>
      </c>
      <c r="Q77" s="29">
        <f t="shared" si="4"/>
        <v>0</v>
      </c>
    </row>
    <row r="78" spans="1:17" x14ac:dyDescent="0.2">
      <c r="A78" s="14" t="s">
        <v>31</v>
      </c>
      <c r="B78" s="14" t="s">
        <v>120</v>
      </c>
      <c r="C78" s="10">
        <f>'4. Isi Produksi Ikan'!E78</f>
        <v>0</v>
      </c>
      <c r="D78" s="10">
        <f>'4. Isi Produksi Ikan'!H78</f>
        <v>0</v>
      </c>
      <c r="E78" s="10">
        <f>'4. Isi Produksi Ikan'!K78</f>
        <v>0</v>
      </c>
      <c r="F78" s="10">
        <f>'4. Isi Produksi Ikan'!N78</f>
        <v>0</v>
      </c>
      <c r="G78" s="10">
        <f>'4. Isi Produksi Ikan'!Q78</f>
        <v>0</v>
      </c>
      <c r="H78" s="10">
        <f>'4. Isi Produksi Ikan'!T78</f>
        <v>0</v>
      </c>
      <c r="I78" s="10">
        <f>'4. Isi Produksi Ikan'!W78</f>
        <v>0</v>
      </c>
      <c r="J78" s="10">
        <f>'4. Isi Produksi Ikan'!Z78</f>
        <v>0</v>
      </c>
      <c r="K78" s="10">
        <f>'4. Isi Produksi Ikan'!AC78</f>
        <v>0</v>
      </c>
      <c r="L78" s="10">
        <f>'4. Isi Produksi Ikan'!AF78</f>
        <v>0</v>
      </c>
      <c r="M78" s="10">
        <f>'4. Isi Produksi Ikan'!AI78</f>
        <v>0</v>
      </c>
      <c r="N78" s="10">
        <f>'4. Isi Produksi Ikan'!AL78</f>
        <v>0</v>
      </c>
      <c r="O78" s="10">
        <f>'4. Isi Produksi Ikan'!AO78</f>
        <v>0</v>
      </c>
      <c r="P78" s="10">
        <f>'4. Isi Produksi Ikan'!AR78</f>
        <v>0</v>
      </c>
      <c r="Q78" s="29">
        <f t="shared" si="4"/>
        <v>0</v>
      </c>
    </row>
    <row r="79" spans="1:17" x14ac:dyDescent="0.2">
      <c r="A79" s="14" t="s">
        <v>31</v>
      </c>
      <c r="B79" s="14" t="s">
        <v>121</v>
      </c>
      <c r="C79" s="10">
        <f>'4. Isi Produksi Ikan'!E79</f>
        <v>0</v>
      </c>
      <c r="D79" s="10">
        <f>'4. Isi Produksi Ikan'!H79</f>
        <v>0</v>
      </c>
      <c r="E79" s="10">
        <f>'4. Isi Produksi Ikan'!K79</f>
        <v>0</v>
      </c>
      <c r="F79" s="10">
        <f>'4. Isi Produksi Ikan'!N79</f>
        <v>0</v>
      </c>
      <c r="G79" s="10">
        <f>'4. Isi Produksi Ikan'!Q79</f>
        <v>0</v>
      </c>
      <c r="H79" s="10">
        <f>'4. Isi Produksi Ikan'!T79</f>
        <v>0</v>
      </c>
      <c r="I79" s="10">
        <f>'4. Isi Produksi Ikan'!W79</f>
        <v>0</v>
      </c>
      <c r="J79" s="10">
        <f>'4. Isi Produksi Ikan'!Z79</f>
        <v>0</v>
      </c>
      <c r="K79" s="10">
        <f>'4. Isi Produksi Ikan'!AC79</f>
        <v>0</v>
      </c>
      <c r="L79" s="10">
        <f>'4. Isi Produksi Ikan'!AF79</f>
        <v>0</v>
      </c>
      <c r="M79" s="10">
        <f>'4. Isi Produksi Ikan'!AI79</f>
        <v>0</v>
      </c>
      <c r="N79" s="10">
        <f>'4. Isi Produksi Ikan'!AL79</f>
        <v>0</v>
      </c>
      <c r="O79" s="10">
        <f>'4. Isi Produksi Ikan'!AO79</f>
        <v>0</v>
      </c>
      <c r="P79" s="10">
        <f>'4. Isi Produksi Ikan'!AR79</f>
        <v>0</v>
      </c>
      <c r="Q79" s="29">
        <f t="shared" si="4"/>
        <v>0</v>
      </c>
    </row>
    <row r="80" spans="1:17" x14ac:dyDescent="0.2">
      <c r="A80" s="14" t="s">
        <v>31</v>
      </c>
      <c r="B80" s="14" t="s">
        <v>122</v>
      </c>
      <c r="C80" s="10">
        <f>'4. Isi Produksi Ikan'!E80</f>
        <v>0</v>
      </c>
      <c r="D80" s="10">
        <f>'4. Isi Produksi Ikan'!H80</f>
        <v>0</v>
      </c>
      <c r="E80" s="10">
        <f>'4. Isi Produksi Ikan'!K80</f>
        <v>0</v>
      </c>
      <c r="F80" s="10">
        <f>'4. Isi Produksi Ikan'!N80</f>
        <v>0</v>
      </c>
      <c r="G80" s="10">
        <f>'4. Isi Produksi Ikan'!Q80</f>
        <v>0</v>
      </c>
      <c r="H80" s="10">
        <f>'4. Isi Produksi Ikan'!T80</f>
        <v>0</v>
      </c>
      <c r="I80" s="10">
        <f>'4. Isi Produksi Ikan'!W80</f>
        <v>0</v>
      </c>
      <c r="J80" s="10">
        <f>'4. Isi Produksi Ikan'!Z80</f>
        <v>0</v>
      </c>
      <c r="K80" s="10">
        <f>'4. Isi Produksi Ikan'!AC80</f>
        <v>0</v>
      </c>
      <c r="L80" s="10">
        <f>'4. Isi Produksi Ikan'!AF80</f>
        <v>0</v>
      </c>
      <c r="M80" s="10">
        <f>'4. Isi Produksi Ikan'!AI80</f>
        <v>0</v>
      </c>
      <c r="N80" s="10">
        <f>'4. Isi Produksi Ikan'!AL80</f>
        <v>0</v>
      </c>
      <c r="O80" s="10">
        <f>'4. Isi Produksi Ikan'!AO80</f>
        <v>0</v>
      </c>
      <c r="P80" s="10">
        <f>'4. Isi Produksi Ikan'!AR80</f>
        <v>0</v>
      </c>
      <c r="Q80" s="29">
        <f t="shared" si="4"/>
        <v>0</v>
      </c>
    </row>
    <row r="81" spans="1:17" x14ac:dyDescent="0.2">
      <c r="A81" s="14" t="s">
        <v>31</v>
      </c>
      <c r="B81" s="14" t="s">
        <v>123</v>
      </c>
      <c r="C81" s="10">
        <f>'4. Isi Produksi Ikan'!E81</f>
        <v>0</v>
      </c>
      <c r="D81" s="10">
        <f>'4. Isi Produksi Ikan'!H81</f>
        <v>0</v>
      </c>
      <c r="E81" s="10">
        <f>'4. Isi Produksi Ikan'!K81</f>
        <v>0</v>
      </c>
      <c r="F81" s="10">
        <f>'4. Isi Produksi Ikan'!N81</f>
        <v>0</v>
      </c>
      <c r="G81" s="10">
        <f>'4. Isi Produksi Ikan'!Q81</f>
        <v>0</v>
      </c>
      <c r="H81" s="10">
        <f>'4. Isi Produksi Ikan'!T81</f>
        <v>0</v>
      </c>
      <c r="I81" s="10">
        <f>'4. Isi Produksi Ikan'!W81</f>
        <v>0</v>
      </c>
      <c r="J81" s="10">
        <f>'4. Isi Produksi Ikan'!Z81</f>
        <v>0</v>
      </c>
      <c r="K81" s="10">
        <f>'4. Isi Produksi Ikan'!AC81</f>
        <v>0</v>
      </c>
      <c r="L81" s="10">
        <f>'4. Isi Produksi Ikan'!AF81</f>
        <v>0</v>
      </c>
      <c r="M81" s="10">
        <f>'4. Isi Produksi Ikan'!AI81</f>
        <v>0</v>
      </c>
      <c r="N81" s="10">
        <f>'4. Isi Produksi Ikan'!AL81</f>
        <v>0</v>
      </c>
      <c r="O81" s="10">
        <f>'4. Isi Produksi Ikan'!AO81</f>
        <v>0</v>
      </c>
      <c r="P81" s="10">
        <f>'4. Isi Produksi Ikan'!AR81</f>
        <v>0</v>
      </c>
      <c r="Q81" s="29">
        <f t="shared" si="4"/>
        <v>0</v>
      </c>
    </row>
    <row r="82" spans="1:17" x14ac:dyDescent="0.2">
      <c r="A82" s="14" t="s">
        <v>31</v>
      </c>
      <c r="B82" s="14" t="s">
        <v>124</v>
      </c>
      <c r="C82" s="10">
        <f>'4. Isi Produksi Ikan'!E82</f>
        <v>0</v>
      </c>
      <c r="D82" s="10">
        <f>'4. Isi Produksi Ikan'!H82</f>
        <v>0</v>
      </c>
      <c r="E82" s="10">
        <f>'4. Isi Produksi Ikan'!K82</f>
        <v>0</v>
      </c>
      <c r="F82" s="10">
        <f>'4. Isi Produksi Ikan'!N82</f>
        <v>0</v>
      </c>
      <c r="G82" s="10">
        <f>'4. Isi Produksi Ikan'!Q82</f>
        <v>0</v>
      </c>
      <c r="H82" s="10">
        <f>'4. Isi Produksi Ikan'!T82</f>
        <v>0</v>
      </c>
      <c r="I82" s="10">
        <f>'4. Isi Produksi Ikan'!W82</f>
        <v>0</v>
      </c>
      <c r="J82" s="10">
        <f>'4. Isi Produksi Ikan'!Z82</f>
        <v>0</v>
      </c>
      <c r="K82" s="10">
        <f>'4. Isi Produksi Ikan'!AC82</f>
        <v>0</v>
      </c>
      <c r="L82" s="10">
        <f>'4. Isi Produksi Ikan'!AF82</f>
        <v>0</v>
      </c>
      <c r="M82" s="10">
        <f>'4. Isi Produksi Ikan'!AI82</f>
        <v>0</v>
      </c>
      <c r="N82" s="10">
        <f>'4. Isi Produksi Ikan'!AL82</f>
        <v>0</v>
      </c>
      <c r="O82" s="10">
        <f>'4. Isi Produksi Ikan'!AO82</f>
        <v>0</v>
      </c>
      <c r="P82" s="10">
        <f>'4. Isi Produksi Ikan'!AR82</f>
        <v>0</v>
      </c>
      <c r="Q82" s="29">
        <f t="shared" si="4"/>
        <v>0</v>
      </c>
    </row>
    <row r="83" spans="1:17" x14ac:dyDescent="0.2">
      <c r="A83" s="14" t="s">
        <v>31</v>
      </c>
      <c r="B83" s="14" t="s">
        <v>125</v>
      </c>
      <c r="C83" s="10">
        <f>'4. Isi Produksi Ikan'!E83</f>
        <v>0</v>
      </c>
      <c r="D83" s="10">
        <f>'4. Isi Produksi Ikan'!H83</f>
        <v>0</v>
      </c>
      <c r="E83" s="10">
        <f>'4. Isi Produksi Ikan'!K83</f>
        <v>0</v>
      </c>
      <c r="F83" s="10">
        <f>'4. Isi Produksi Ikan'!N83</f>
        <v>0</v>
      </c>
      <c r="G83" s="10">
        <f>'4. Isi Produksi Ikan'!Q83</f>
        <v>0</v>
      </c>
      <c r="H83" s="10">
        <f>'4. Isi Produksi Ikan'!T83</f>
        <v>0</v>
      </c>
      <c r="I83" s="10">
        <f>'4. Isi Produksi Ikan'!W83</f>
        <v>0</v>
      </c>
      <c r="J83" s="10">
        <f>'4. Isi Produksi Ikan'!Z83</f>
        <v>0</v>
      </c>
      <c r="K83" s="10">
        <f>'4. Isi Produksi Ikan'!AC83</f>
        <v>0</v>
      </c>
      <c r="L83" s="10">
        <f>'4. Isi Produksi Ikan'!AF83</f>
        <v>0</v>
      </c>
      <c r="M83" s="10">
        <f>'4. Isi Produksi Ikan'!AI83</f>
        <v>0</v>
      </c>
      <c r="N83" s="10">
        <f>'4. Isi Produksi Ikan'!AL83</f>
        <v>0</v>
      </c>
      <c r="O83" s="10">
        <f>'4. Isi Produksi Ikan'!AO83</f>
        <v>0</v>
      </c>
      <c r="P83" s="10">
        <f>'4. Isi Produksi Ikan'!AR83</f>
        <v>0</v>
      </c>
      <c r="Q83" s="29">
        <f t="shared" si="4"/>
        <v>0</v>
      </c>
    </row>
    <row r="84" spans="1:17" x14ac:dyDescent="0.2">
      <c r="A84" s="14" t="s">
        <v>31</v>
      </c>
      <c r="B84" s="14" t="s">
        <v>126</v>
      </c>
      <c r="C84" s="10">
        <f>'4. Isi Produksi Ikan'!E84</f>
        <v>0</v>
      </c>
      <c r="D84" s="10">
        <f>'4. Isi Produksi Ikan'!H84</f>
        <v>0</v>
      </c>
      <c r="E84" s="10">
        <f>'4. Isi Produksi Ikan'!K84</f>
        <v>0</v>
      </c>
      <c r="F84" s="10">
        <f>'4. Isi Produksi Ikan'!N84</f>
        <v>0</v>
      </c>
      <c r="G84" s="10">
        <f>'4. Isi Produksi Ikan'!Q84</f>
        <v>0</v>
      </c>
      <c r="H84" s="10">
        <f>'4. Isi Produksi Ikan'!T84</f>
        <v>0</v>
      </c>
      <c r="I84" s="10">
        <f>'4. Isi Produksi Ikan'!W84</f>
        <v>0</v>
      </c>
      <c r="J84" s="10">
        <f>'4. Isi Produksi Ikan'!Z84</f>
        <v>0</v>
      </c>
      <c r="K84" s="10">
        <f>'4. Isi Produksi Ikan'!AC84</f>
        <v>0</v>
      </c>
      <c r="L84" s="10">
        <f>'4. Isi Produksi Ikan'!AF84</f>
        <v>0</v>
      </c>
      <c r="M84" s="10">
        <f>'4. Isi Produksi Ikan'!AI84</f>
        <v>0</v>
      </c>
      <c r="N84" s="10">
        <f>'4. Isi Produksi Ikan'!AL84</f>
        <v>0</v>
      </c>
      <c r="O84" s="10">
        <f>'4. Isi Produksi Ikan'!AO84</f>
        <v>0</v>
      </c>
      <c r="P84" s="10">
        <f>'4. Isi Produksi Ikan'!AR84</f>
        <v>0</v>
      </c>
      <c r="Q84" s="29">
        <f t="shared" si="4"/>
        <v>0</v>
      </c>
    </row>
    <row r="85" spans="1:17" x14ac:dyDescent="0.2">
      <c r="A85" s="14" t="s">
        <v>31</v>
      </c>
      <c r="B85" s="14" t="s">
        <v>40</v>
      </c>
      <c r="C85" s="10">
        <f>'4. Isi Produksi Ikan'!E85</f>
        <v>0</v>
      </c>
      <c r="D85" s="10">
        <f>'4. Isi Produksi Ikan'!H85</f>
        <v>0</v>
      </c>
      <c r="E85" s="10">
        <f>'4. Isi Produksi Ikan'!K85</f>
        <v>0</v>
      </c>
      <c r="F85" s="10">
        <f>'4. Isi Produksi Ikan'!N85</f>
        <v>0</v>
      </c>
      <c r="G85" s="10">
        <f>'4. Isi Produksi Ikan'!Q85</f>
        <v>0</v>
      </c>
      <c r="H85" s="10">
        <f>'4. Isi Produksi Ikan'!T85</f>
        <v>0</v>
      </c>
      <c r="I85" s="10">
        <f>'4. Isi Produksi Ikan'!W85</f>
        <v>0</v>
      </c>
      <c r="J85" s="10">
        <f>'4. Isi Produksi Ikan'!Z85</f>
        <v>0</v>
      </c>
      <c r="K85" s="10">
        <f>'4. Isi Produksi Ikan'!AC85</f>
        <v>0</v>
      </c>
      <c r="L85" s="10">
        <f>'4. Isi Produksi Ikan'!AF85</f>
        <v>0</v>
      </c>
      <c r="M85" s="10">
        <f>'4. Isi Produksi Ikan'!AI85</f>
        <v>0</v>
      </c>
      <c r="N85" s="10">
        <f>'4. Isi Produksi Ikan'!AL85</f>
        <v>0</v>
      </c>
      <c r="O85" s="10">
        <f>'4. Isi Produksi Ikan'!AO85</f>
        <v>0</v>
      </c>
      <c r="P85" s="10">
        <f>'4. Isi Produksi Ikan'!AR85</f>
        <v>0</v>
      </c>
      <c r="Q85" s="29">
        <f t="shared" si="4"/>
        <v>0</v>
      </c>
    </row>
    <row r="86" spans="1:17" x14ac:dyDescent="0.2">
      <c r="A86" s="14" t="s">
        <v>31</v>
      </c>
      <c r="B86" s="14" t="s">
        <v>41</v>
      </c>
      <c r="C86" s="10">
        <f>'4. Isi Produksi Ikan'!E86</f>
        <v>0</v>
      </c>
      <c r="D86" s="10">
        <f>'4. Isi Produksi Ikan'!H86</f>
        <v>0</v>
      </c>
      <c r="E86" s="10">
        <f>'4. Isi Produksi Ikan'!K86</f>
        <v>0</v>
      </c>
      <c r="F86" s="10">
        <f>'4. Isi Produksi Ikan'!N86</f>
        <v>0</v>
      </c>
      <c r="G86" s="10">
        <f>'4. Isi Produksi Ikan'!Q86</f>
        <v>0</v>
      </c>
      <c r="H86" s="10">
        <f>'4. Isi Produksi Ikan'!T86</f>
        <v>0</v>
      </c>
      <c r="I86" s="10">
        <f>'4. Isi Produksi Ikan'!W86</f>
        <v>0</v>
      </c>
      <c r="J86" s="10">
        <f>'4. Isi Produksi Ikan'!Z86</f>
        <v>0</v>
      </c>
      <c r="K86" s="10">
        <f>'4. Isi Produksi Ikan'!AC86</f>
        <v>0</v>
      </c>
      <c r="L86" s="10">
        <f>'4. Isi Produksi Ikan'!AF86</f>
        <v>0</v>
      </c>
      <c r="M86" s="10">
        <f>'4. Isi Produksi Ikan'!AI86</f>
        <v>0</v>
      </c>
      <c r="N86" s="10">
        <f>'4. Isi Produksi Ikan'!AL86</f>
        <v>0</v>
      </c>
      <c r="O86" s="10">
        <f>'4. Isi Produksi Ikan'!AO86</f>
        <v>0</v>
      </c>
      <c r="P86" s="10">
        <f>'4. Isi Produksi Ikan'!AR86</f>
        <v>0</v>
      </c>
      <c r="Q86" s="29">
        <f t="shared" si="4"/>
        <v>0</v>
      </c>
    </row>
    <row r="87" spans="1:17" x14ac:dyDescent="0.2">
      <c r="A87" s="14" t="s">
        <v>31</v>
      </c>
      <c r="B87" s="14" t="s">
        <v>42</v>
      </c>
      <c r="C87" s="10">
        <f>'4. Isi Produksi Ikan'!E87</f>
        <v>0</v>
      </c>
      <c r="D87" s="10">
        <f>'4. Isi Produksi Ikan'!H87</f>
        <v>0</v>
      </c>
      <c r="E87" s="10">
        <f>'4. Isi Produksi Ikan'!K87</f>
        <v>0</v>
      </c>
      <c r="F87" s="10">
        <f>'4. Isi Produksi Ikan'!N87</f>
        <v>0</v>
      </c>
      <c r="G87" s="10">
        <f>'4. Isi Produksi Ikan'!Q87</f>
        <v>0</v>
      </c>
      <c r="H87" s="10">
        <f>'4. Isi Produksi Ikan'!T87</f>
        <v>0</v>
      </c>
      <c r="I87" s="10">
        <f>'4. Isi Produksi Ikan'!W87</f>
        <v>0</v>
      </c>
      <c r="J87" s="10">
        <f>'4. Isi Produksi Ikan'!Z87</f>
        <v>0</v>
      </c>
      <c r="K87" s="10">
        <f>'4. Isi Produksi Ikan'!AC87</f>
        <v>0</v>
      </c>
      <c r="L87" s="10">
        <f>'4. Isi Produksi Ikan'!AF87</f>
        <v>0</v>
      </c>
      <c r="M87" s="10">
        <f>'4. Isi Produksi Ikan'!AI87</f>
        <v>0</v>
      </c>
      <c r="N87" s="10">
        <f>'4. Isi Produksi Ikan'!AL87</f>
        <v>0</v>
      </c>
      <c r="O87" s="10">
        <f>'4. Isi Produksi Ikan'!AO87</f>
        <v>0</v>
      </c>
      <c r="P87" s="10">
        <f>'4. Isi Produksi Ikan'!AR87</f>
        <v>0</v>
      </c>
      <c r="Q87" s="29">
        <f t="shared" si="4"/>
        <v>0</v>
      </c>
    </row>
  </sheetData>
  <sheetProtection formatColumns="0"/>
  <autoFilter ref="A8:Q87"/>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87"/>
  <sheetViews>
    <sheetView workbookViewId="0">
      <pane xSplit="2" ySplit="8" topLeftCell="K9" activePane="bottomRight" state="frozen"/>
      <selection pane="topRight" activeCell="B1" sqref="B1"/>
      <selection pane="bottomLeft" activeCell="A4" sqref="A4"/>
      <selection pane="bottomRight" activeCell="M7" sqref="M7"/>
    </sheetView>
  </sheetViews>
  <sheetFormatPr defaultColWidth="9" defaultRowHeight="12" x14ac:dyDescent="0.2"/>
  <cols>
    <col min="1" max="1" width="11.6640625" bestFit="1" customWidth="1"/>
    <col min="2" max="2" width="43.1640625" customWidth="1"/>
    <col min="3" max="3" width="21.33203125" bestFit="1" customWidth="1"/>
    <col min="4" max="4" width="23.1640625" bestFit="1" customWidth="1"/>
    <col min="5" max="5" width="16.33203125" bestFit="1" customWidth="1"/>
    <col min="6" max="7" width="23" bestFit="1" customWidth="1"/>
    <col min="8" max="8" width="17" bestFit="1" customWidth="1"/>
    <col min="9" max="9" width="17.33203125" bestFit="1" customWidth="1"/>
    <col min="10" max="10" width="19.33203125" bestFit="1" customWidth="1"/>
    <col min="11" max="11" width="16.33203125" bestFit="1" customWidth="1"/>
    <col min="12" max="12" width="21" bestFit="1" customWidth="1"/>
    <col min="13" max="13" width="20.33203125" bestFit="1" customWidth="1"/>
    <col min="14" max="14" width="18.1640625" bestFit="1" customWidth="1"/>
    <col min="15" max="15" width="19.33203125" bestFit="1" customWidth="1"/>
    <col min="16" max="16" width="18.33203125" bestFit="1" customWidth="1"/>
    <col min="17" max="17" width="16.33203125" bestFit="1" customWidth="1"/>
    <col min="18" max="18" width="15" bestFit="1" customWidth="1"/>
  </cols>
  <sheetData>
    <row r="1" spans="1:18" hidden="1" x14ac:dyDescent="0.2"/>
    <row r="2" spans="1:18" hidden="1" x14ac:dyDescent="0.2"/>
    <row r="3" spans="1:18" hidden="1" x14ac:dyDescent="0.2"/>
    <row r="4" spans="1:18" hidden="1" x14ac:dyDescent="0.2"/>
    <row r="5" spans="1:18" hidden="1" x14ac:dyDescent="0.2">
      <c r="B5" s="14" t="s">
        <v>26</v>
      </c>
      <c r="C5" s="14" t="str">
        <f>'4. Isi Produksi Ikan'!E4</f>
        <v>KAB. BARITO SELATAN Total</v>
      </c>
      <c r="D5" s="14" t="str">
        <f>'4. Isi Produksi Ikan'!H4</f>
        <v>KAB. BARITO TIMUR Total</v>
      </c>
      <c r="E5" s="14" t="str">
        <f>'4. Isi Produksi Ikan'!K4</f>
        <v>KAB. BARITO UTARA Total</v>
      </c>
      <c r="F5" s="14" t="str">
        <f>'4. Isi Produksi Ikan'!N4</f>
        <v>KAB. GUNUNG MAS Total</v>
      </c>
      <c r="G5" s="14" t="str">
        <f>'4. Isi Produksi Ikan'!Q4</f>
        <v>KAB. KAPUAS Total</v>
      </c>
      <c r="H5" s="14" t="str">
        <f>'4. Isi Produksi Ikan'!T4</f>
        <v>KAB. KATINGAN Total</v>
      </c>
      <c r="I5" s="14" t="str">
        <f>'4. Isi Produksi Ikan'!W4</f>
        <v>KAB. KOTAWARINGIN BARAT Total</v>
      </c>
      <c r="J5" s="14" t="str">
        <f>'4. Isi Produksi Ikan'!Z4</f>
        <v>KAB. KOTAWARINGIN TIMUR Total</v>
      </c>
      <c r="K5" s="14" t="str">
        <f>'4. Isi Produksi Ikan'!AC4</f>
        <v>KAB. LAMANDAU Total</v>
      </c>
      <c r="L5" s="14" t="str">
        <f>'4. Isi Produksi Ikan'!AF4</f>
        <v>KAB. MURUNG RAYA Total</v>
      </c>
      <c r="M5" s="14" t="str">
        <f>'4. Isi Produksi Ikan'!AI4</f>
        <v>KAB. PULANG PISAU Total</v>
      </c>
      <c r="N5" s="14" t="str">
        <f>'4. Isi Produksi Ikan'!AL4</f>
        <v>KAB. SERUYAN Total</v>
      </c>
      <c r="O5" s="14" t="str">
        <f>'4. Isi Produksi Ikan'!AO4</f>
        <v>KAB. SUKAMARA Total</v>
      </c>
      <c r="P5" s="14" t="str">
        <f>'4. Isi Produksi Ikan'!AR4</f>
        <v>KOTA PALANGKARAYA Total</v>
      </c>
      <c r="Q5" s="29" t="s">
        <v>17</v>
      </c>
    </row>
    <row r="6" spans="1:18" hidden="1" x14ac:dyDescent="0.2">
      <c r="B6" s="14" t="s">
        <v>33</v>
      </c>
      <c r="C6" s="29">
        <f>'4. Isi Produksi Ikan'!E6</f>
        <v>0</v>
      </c>
      <c r="D6" s="29">
        <f>'4. Isi Produksi Ikan'!H6</f>
        <v>0</v>
      </c>
      <c r="E6" s="29">
        <f>'4. Isi Produksi Ikan'!K6</f>
        <v>0</v>
      </c>
      <c r="F6" s="29">
        <f>'4. Isi Produksi Ikan'!N6</f>
        <v>0</v>
      </c>
      <c r="G6" s="29">
        <f>'4. Isi Produksi Ikan'!Q6</f>
        <v>0</v>
      </c>
      <c r="H6" s="29">
        <f>'4. Isi Produksi Ikan'!T6</f>
        <v>0</v>
      </c>
      <c r="I6" s="29">
        <f>'4. Isi Produksi Ikan'!W6</f>
        <v>0</v>
      </c>
      <c r="J6" s="29">
        <f>'4. Isi Produksi Ikan'!Z6</f>
        <v>0</v>
      </c>
      <c r="K6" s="29">
        <f>'4. Isi Produksi Ikan'!AC6</f>
        <v>0</v>
      </c>
      <c r="L6" s="29">
        <f>'4. Isi Produksi Ikan'!AF6</f>
        <v>0</v>
      </c>
      <c r="M6" s="29">
        <f>'4. Isi Produksi Ikan'!AI6</f>
        <v>0</v>
      </c>
      <c r="N6" s="29">
        <f>'4. Isi Produksi Ikan'!AL6</f>
        <v>0</v>
      </c>
      <c r="O6" s="29">
        <f>'4. Isi Produksi Ikan'!AO6</f>
        <v>0</v>
      </c>
      <c r="P6" s="29">
        <f>'4. Isi Produksi Ikan'!AR6</f>
        <v>0</v>
      </c>
      <c r="Q6" s="29">
        <f>'4. Isi Produksi Ikan'!AS6</f>
        <v>0</v>
      </c>
    </row>
    <row r="7" spans="1:18" x14ac:dyDescent="0.2">
      <c r="B7" s="14" t="s">
        <v>162</v>
      </c>
      <c r="C7" s="33"/>
      <c r="D7" s="33"/>
      <c r="E7" s="33"/>
      <c r="F7" s="33"/>
      <c r="G7" s="33"/>
      <c r="H7" s="33"/>
      <c r="I7" s="33"/>
      <c r="J7" s="33"/>
      <c r="K7" s="33"/>
      <c r="L7" s="33"/>
      <c r="M7" s="33"/>
      <c r="N7" s="33"/>
      <c r="O7" s="33"/>
      <c r="P7" s="33"/>
      <c r="Q7" s="33"/>
    </row>
    <row r="8" spans="1:18" x14ac:dyDescent="0.2">
      <c r="A8" s="14" t="s">
        <v>30</v>
      </c>
      <c r="B8" s="14" t="s">
        <v>22</v>
      </c>
      <c r="C8" s="14" t="str">
        <f t="shared" ref="C8:P8" si="0">C5</f>
        <v>KAB. BARITO SELATAN Total</v>
      </c>
      <c r="D8" s="14" t="str">
        <f t="shared" si="0"/>
        <v>KAB. BARITO TIMUR Total</v>
      </c>
      <c r="E8" s="14" t="str">
        <f t="shared" si="0"/>
        <v>KAB. BARITO UTARA Total</v>
      </c>
      <c r="F8" s="14" t="str">
        <f t="shared" si="0"/>
        <v>KAB. GUNUNG MAS Total</v>
      </c>
      <c r="G8" s="14" t="str">
        <f t="shared" si="0"/>
        <v>KAB. KAPUAS Total</v>
      </c>
      <c r="H8" s="14" t="str">
        <f t="shared" si="0"/>
        <v>KAB. KATINGAN Total</v>
      </c>
      <c r="I8" s="14" t="str">
        <f t="shared" si="0"/>
        <v>KAB. KOTAWARINGIN BARAT Total</v>
      </c>
      <c r="J8" s="14" t="str">
        <f t="shared" si="0"/>
        <v>KAB. KOTAWARINGIN TIMUR Total</v>
      </c>
      <c r="K8" s="14" t="str">
        <f t="shared" si="0"/>
        <v>KAB. LAMANDAU Total</v>
      </c>
      <c r="L8" s="14" t="str">
        <f t="shared" si="0"/>
        <v>KAB. MURUNG RAYA Total</v>
      </c>
      <c r="M8" s="14" t="str">
        <f t="shared" si="0"/>
        <v>KAB. PULANG PISAU Total</v>
      </c>
      <c r="N8" s="14" t="str">
        <f t="shared" si="0"/>
        <v>KAB. SERUYAN Total</v>
      </c>
      <c r="O8" s="14" t="str">
        <f t="shared" si="0"/>
        <v>KAB. SUKAMARA Total</v>
      </c>
      <c r="P8" s="14" t="str">
        <f t="shared" si="0"/>
        <v>KOTA PALANGKARAYA Total</v>
      </c>
      <c r="Q8" s="14" t="s">
        <v>23</v>
      </c>
      <c r="R8" s="14" t="s">
        <v>35</v>
      </c>
    </row>
    <row r="9" spans="1:18" x14ac:dyDescent="0.2">
      <c r="A9" s="14" t="s">
        <v>31</v>
      </c>
      <c r="B9" s="14" t="s">
        <v>56</v>
      </c>
      <c r="C9" s="35">
        <v>0</v>
      </c>
      <c r="D9" s="35">
        <v>0</v>
      </c>
      <c r="E9" s="35">
        <v>0</v>
      </c>
      <c r="F9" s="35">
        <v>0</v>
      </c>
      <c r="G9" s="35">
        <v>0</v>
      </c>
      <c r="H9" s="35">
        <v>0</v>
      </c>
      <c r="I9" s="35">
        <v>0</v>
      </c>
      <c r="J9" s="35">
        <v>0</v>
      </c>
      <c r="K9" s="35">
        <v>0</v>
      </c>
      <c r="L9" s="35">
        <v>0</v>
      </c>
      <c r="M9" s="35">
        <v>0</v>
      </c>
      <c r="N9" s="35">
        <v>0</v>
      </c>
      <c r="O9" s="35">
        <v>0</v>
      </c>
      <c r="P9" s="35">
        <v>0</v>
      </c>
      <c r="Q9" s="33" t="str">
        <f>IF('5. Hasil Prod Ikan'!Q9&gt;0,"Ada","Tidak")</f>
        <v>Tidak</v>
      </c>
      <c r="R9" s="34">
        <f t="shared" ref="R9:R40" si="1">IFERROR(AVERAGEIF(C9:P9,"&gt;0"),0)</f>
        <v>0</v>
      </c>
    </row>
    <row r="10" spans="1:18" x14ac:dyDescent="0.2">
      <c r="A10" s="14" t="s">
        <v>31</v>
      </c>
      <c r="B10" s="14" t="s">
        <v>57</v>
      </c>
      <c r="C10" s="35">
        <v>0</v>
      </c>
      <c r="D10" s="35">
        <v>0</v>
      </c>
      <c r="E10" s="35">
        <v>0</v>
      </c>
      <c r="F10" s="35">
        <v>0</v>
      </c>
      <c r="G10" s="35">
        <v>0</v>
      </c>
      <c r="H10" s="35">
        <v>0</v>
      </c>
      <c r="I10" s="35">
        <v>0</v>
      </c>
      <c r="J10" s="35">
        <v>0</v>
      </c>
      <c r="K10" s="35">
        <v>0</v>
      </c>
      <c r="L10" s="35">
        <v>0</v>
      </c>
      <c r="M10" s="35">
        <v>0</v>
      </c>
      <c r="N10" s="35">
        <v>0</v>
      </c>
      <c r="O10" s="35">
        <v>0</v>
      </c>
      <c r="P10" s="35">
        <v>0</v>
      </c>
      <c r="Q10" s="33" t="str">
        <f>IF('5. Hasil Prod Ikan'!Q10&gt;0,"Ada","Tidak")</f>
        <v>Tidak</v>
      </c>
      <c r="R10" s="34">
        <f t="shared" si="1"/>
        <v>0</v>
      </c>
    </row>
    <row r="11" spans="1:18" x14ac:dyDescent="0.2">
      <c r="A11" s="14" t="s">
        <v>31</v>
      </c>
      <c r="B11" s="14" t="s">
        <v>58</v>
      </c>
      <c r="C11" s="35">
        <v>0</v>
      </c>
      <c r="D11" s="35">
        <v>0</v>
      </c>
      <c r="E11" s="35">
        <v>0</v>
      </c>
      <c r="F11" s="35">
        <v>0</v>
      </c>
      <c r="G11" s="35">
        <v>0</v>
      </c>
      <c r="H11" s="35">
        <v>0</v>
      </c>
      <c r="I11" s="35">
        <v>0</v>
      </c>
      <c r="J11" s="35">
        <v>0</v>
      </c>
      <c r="K11" s="35">
        <v>0</v>
      </c>
      <c r="L11" s="35">
        <v>0</v>
      </c>
      <c r="M11" s="35">
        <v>0</v>
      </c>
      <c r="N11" s="35">
        <v>0</v>
      </c>
      <c r="O11" s="35">
        <v>0</v>
      </c>
      <c r="P11" s="35">
        <v>0</v>
      </c>
      <c r="Q11" s="33" t="str">
        <f>IF('5. Hasil Prod Ikan'!Q11&gt;0,"Ada","Tidak")</f>
        <v>Tidak</v>
      </c>
      <c r="R11" s="34">
        <f t="shared" si="1"/>
        <v>0</v>
      </c>
    </row>
    <row r="12" spans="1:18" x14ac:dyDescent="0.2">
      <c r="A12" s="14" t="s">
        <v>31</v>
      </c>
      <c r="B12" s="14" t="s">
        <v>59</v>
      </c>
      <c r="C12" s="35">
        <v>0</v>
      </c>
      <c r="D12" s="35">
        <v>0</v>
      </c>
      <c r="E12" s="35">
        <v>0</v>
      </c>
      <c r="F12" s="35">
        <v>0</v>
      </c>
      <c r="G12" s="35">
        <v>0</v>
      </c>
      <c r="H12" s="35">
        <v>0</v>
      </c>
      <c r="I12" s="35">
        <v>0</v>
      </c>
      <c r="J12" s="35">
        <v>0</v>
      </c>
      <c r="K12" s="35">
        <v>0</v>
      </c>
      <c r="L12" s="35">
        <v>0</v>
      </c>
      <c r="M12" s="35">
        <v>0</v>
      </c>
      <c r="N12" s="35">
        <v>0</v>
      </c>
      <c r="O12" s="35">
        <v>0</v>
      </c>
      <c r="P12" s="35">
        <v>0</v>
      </c>
      <c r="Q12" s="33" t="str">
        <f>IF('5. Hasil Prod Ikan'!Q12&gt;0,"Ada","Tidak")</f>
        <v>Tidak</v>
      </c>
      <c r="R12" s="34">
        <f t="shared" si="1"/>
        <v>0</v>
      </c>
    </row>
    <row r="13" spans="1:18" x14ac:dyDescent="0.2">
      <c r="A13" s="14" t="s">
        <v>31</v>
      </c>
      <c r="B13" s="14" t="s">
        <v>60</v>
      </c>
      <c r="C13" s="35">
        <v>0</v>
      </c>
      <c r="D13" s="35">
        <v>0</v>
      </c>
      <c r="E13" s="35">
        <v>0</v>
      </c>
      <c r="F13" s="35">
        <v>0</v>
      </c>
      <c r="G13" s="35">
        <v>0</v>
      </c>
      <c r="H13" s="35">
        <v>0</v>
      </c>
      <c r="I13" s="35">
        <v>0</v>
      </c>
      <c r="J13" s="35">
        <v>0</v>
      </c>
      <c r="K13" s="35">
        <v>0</v>
      </c>
      <c r="L13" s="35">
        <v>0</v>
      </c>
      <c r="M13" s="35">
        <v>0</v>
      </c>
      <c r="N13" s="35">
        <v>0</v>
      </c>
      <c r="O13" s="35">
        <v>0</v>
      </c>
      <c r="P13" s="35">
        <v>0</v>
      </c>
      <c r="Q13" s="33" t="str">
        <f>IF('5. Hasil Prod Ikan'!Q13&gt;0,"Ada","Tidak")</f>
        <v>Tidak</v>
      </c>
      <c r="R13" s="34">
        <f t="shared" si="1"/>
        <v>0</v>
      </c>
    </row>
    <row r="14" spans="1:18" x14ac:dyDescent="0.2">
      <c r="A14" s="14" t="s">
        <v>31</v>
      </c>
      <c r="B14" s="14" t="s">
        <v>37</v>
      </c>
      <c r="C14" s="35">
        <v>0</v>
      </c>
      <c r="D14" s="35">
        <v>0</v>
      </c>
      <c r="E14" s="35">
        <v>0</v>
      </c>
      <c r="F14" s="35">
        <v>0</v>
      </c>
      <c r="G14" s="35">
        <v>0</v>
      </c>
      <c r="H14" s="35">
        <v>0</v>
      </c>
      <c r="I14" s="35">
        <v>0</v>
      </c>
      <c r="J14" s="35">
        <v>0</v>
      </c>
      <c r="K14" s="35">
        <v>0</v>
      </c>
      <c r="L14" s="35">
        <v>0</v>
      </c>
      <c r="M14" s="35">
        <v>0</v>
      </c>
      <c r="N14" s="35">
        <v>0</v>
      </c>
      <c r="O14" s="35">
        <v>0</v>
      </c>
      <c r="P14" s="35">
        <v>0</v>
      </c>
      <c r="Q14" s="33" t="str">
        <f>IF('5. Hasil Prod Ikan'!Q14&gt;0,"Ada","Tidak")</f>
        <v>Tidak</v>
      </c>
      <c r="R14" s="34">
        <f t="shared" si="1"/>
        <v>0</v>
      </c>
    </row>
    <row r="15" spans="1:18" x14ac:dyDescent="0.2">
      <c r="A15" s="14" t="s">
        <v>31</v>
      </c>
      <c r="B15" s="14" t="s">
        <v>38</v>
      </c>
      <c r="C15" s="35">
        <v>0</v>
      </c>
      <c r="D15" s="35">
        <v>0</v>
      </c>
      <c r="E15" s="35">
        <v>0</v>
      </c>
      <c r="F15" s="35">
        <v>0</v>
      </c>
      <c r="G15" s="35">
        <v>0</v>
      </c>
      <c r="H15" s="35">
        <v>0</v>
      </c>
      <c r="I15" s="35">
        <v>0</v>
      </c>
      <c r="J15" s="35">
        <v>0</v>
      </c>
      <c r="K15" s="35">
        <v>0</v>
      </c>
      <c r="L15" s="35">
        <v>0</v>
      </c>
      <c r="M15" s="35">
        <v>0</v>
      </c>
      <c r="N15" s="35">
        <v>0</v>
      </c>
      <c r="O15" s="35">
        <v>0</v>
      </c>
      <c r="P15" s="35">
        <v>0</v>
      </c>
      <c r="Q15" s="33" t="str">
        <f>IF('5. Hasil Prod Ikan'!Q15&gt;0,"Ada","Tidak")</f>
        <v>Tidak</v>
      </c>
      <c r="R15" s="34">
        <f t="shared" si="1"/>
        <v>0</v>
      </c>
    </row>
    <row r="16" spans="1:18" x14ac:dyDescent="0.2">
      <c r="A16" s="14" t="s">
        <v>31</v>
      </c>
      <c r="B16" s="14" t="s">
        <v>39</v>
      </c>
      <c r="C16" s="35">
        <v>0</v>
      </c>
      <c r="D16" s="35">
        <v>0</v>
      </c>
      <c r="E16" s="35">
        <v>0</v>
      </c>
      <c r="F16" s="35">
        <v>0</v>
      </c>
      <c r="G16" s="35">
        <v>0</v>
      </c>
      <c r="H16" s="35">
        <v>0</v>
      </c>
      <c r="I16" s="35">
        <v>0</v>
      </c>
      <c r="J16" s="35">
        <v>0</v>
      </c>
      <c r="K16" s="35">
        <v>0</v>
      </c>
      <c r="L16" s="35">
        <v>0</v>
      </c>
      <c r="M16" s="35">
        <v>0</v>
      </c>
      <c r="N16" s="35">
        <v>0</v>
      </c>
      <c r="O16" s="35">
        <v>0</v>
      </c>
      <c r="P16" s="35">
        <v>0</v>
      </c>
      <c r="Q16" s="33" t="str">
        <f>IF('5. Hasil Prod Ikan'!Q16&gt;0,"Ada","Tidak")</f>
        <v>Tidak</v>
      </c>
      <c r="R16" s="34">
        <f t="shared" si="1"/>
        <v>0</v>
      </c>
    </row>
    <row r="17" spans="1:18" x14ac:dyDescent="0.2">
      <c r="A17" s="14" t="s">
        <v>31</v>
      </c>
      <c r="B17" s="14" t="s">
        <v>61</v>
      </c>
      <c r="C17" s="35">
        <v>0</v>
      </c>
      <c r="D17" s="35">
        <v>0</v>
      </c>
      <c r="E17" s="35">
        <v>0</v>
      </c>
      <c r="F17" s="35">
        <v>0</v>
      </c>
      <c r="G17" s="35">
        <v>0</v>
      </c>
      <c r="H17" s="35">
        <v>0</v>
      </c>
      <c r="I17" s="35">
        <v>0</v>
      </c>
      <c r="J17" s="35">
        <v>0</v>
      </c>
      <c r="K17" s="35">
        <v>0</v>
      </c>
      <c r="L17" s="35">
        <v>0</v>
      </c>
      <c r="M17" s="35">
        <v>0</v>
      </c>
      <c r="N17" s="35">
        <v>0</v>
      </c>
      <c r="O17" s="35">
        <v>0</v>
      </c>
      <c r="P17" s="35">
        <v>0</v>
      </c>
      <c r="Q17" s="33" t="str">
        <f>IF('5. Hasil Prod Ikan'!Q17&gt;0,"Ada","Tidak")</f>
        <v>Tidak</v>
      </c>
      <c r="R17" s="34">
        <f t="shared" si="1"/>
        <v>0</v>
      </c>
    </row>
    <row r="18" spans="1:18" x14ac:dyDescent="0.2">
      <c r="A18" s="14" t="s">
        <v>31</v>
      </c>
      <c r="B18" s="14" t="s">
        <v>24</v>
      </c>
      <c r="C18" s="35">
        <v>0</v>
      </c>
      <c r="D18" s="35">
        <v>0</v>
      </c>
      <c r="E18" s="35">
        <v>0</v>
      </c>
      <c r="F18" s="35">
        <v>0</v>
      </c>
      <c r="G18" s="35">
        <v>0</v>
      </c>
      <c r="H18" s="35">
        <v>0</v>
      </c>
      <c r="I18" s="35">
        <v>0</v>
      </c>
      <c r="J18" s="35">
        <v>0</v>
      </c>
      <c r="K18" s="35">
        <v>0</v>
      </c>
      <c r="L18" s="35">
        <v>0</v>
      </c>
      <c r="M18" s="35">
        <v>0</v>
      </c>
      <c r="N18" s="35">
        <v>0</v>
      </c>
      <c r="O18" s="35">
        <v>0</v>
      </c>
      <c r="P18" s="35">
        <v>0</v>
      </c>
      <c r="Q18" s="33" t="str">
        <f>IF('5. Hasil Prod Ikan'!Q18&gt;0,"Ada","Tidak")</f>
        <v>Tidak</v>
      </c>
      <c r="R18" s="34">
        <f t="shared" si="1"/>
        <v>0</v>
      </c>
    </row>
    <row r="19" spans="1:18" x14ac:dyDescent="0.2">
      <c r="A19" s="14" t="s">
        <v>31</v>
      </c>
      <c r="B19" s="14" t="s">
        <v>62</v>
      </c>
      <c r="C19" s="35">
        <v>0</v>
      </c>
      <c r="D19" s="35">
        <v>0</v>
      </c>
      <c r="E19" s="35">
        <v>0</v>
      </c>
      <c r="F19" s="35">
        <v>0</v>
      </c>
      <c r="G19" s="35">
        <v>0</v>
      </c>
      <c r="H19" s="35">
        <v>0</v>
      </c>
      <c r="I19" s="35">
        <v>0</v>
      </c>
      <c r="J19" s="35">
        <v>0</v>
      </c>
      <c r="K19" s="35">
        <v>0</v>
      </c>
      <c r="L19" s="35">
        <v>0</v>
      </c>
      <c r="M19" s="35">
        <v>0</v>
      </c>
      <c r="N19" s="35">
        <v>0</v>
      </c>
      <c r="O19" s="35">
        <v>0</v>
      </c>
      <c r="P19" s="35">
        <v>0</v>
      </c>
      <c r="Q19" s="33" t="str">
        <f>IF('5. Hasil Prod Ikan'!Q19&gt;0,"Ada","Tidak")</f>
        <v>Tidak</v>
      </c>
      <c r="R19" s="34">
        <f t="shared" si="1"/>
        <v>0</v>
      </c>
    </row>
    <row r="20" spans="1:18" x14ac:dyDescent="0.2">
      <c r="A20" s="14" t="s">
        <v>31</v>
      </c>
      <c r="B20" s="14" t="s">
        <v>63</v>
      </c>
      <c r="C20" s="35">
        <v>0</v>
      </c>
      <c r="D20" s="35">
        <v>0</v>
      </c>
      <c r="E20" s="35">
        <v>0</v>
      </c>
      <c r="F20" s="35">
        <v>0</v>
      </c>
      <c r="G20" s="35">
        <v>0</v>
      </c>
      <c r="H20" s="35">
        <v>0</v>
      </c>
      <c r="I20" s="35">
        <v>0</v>
      </c>
      <c r="J20" s="35">
        <v>0</v>
      </c>
      <c r="K20" s="35">
        <v>0</v>
      </c>
      <c r="L20" s="35">
        <v>0</v>
      </c>
      <c r="M20" s="35">
        <v>0</v>
      </c>
      <c r="N20" s="35">
        <v>0</v>
      </c>
      <c r="O20" s="35">
        <v>0</v>
      </c>
      <c r="P20" s="35">
        <v>0</v>
      </c>
      <c r="Q20" s="33" t="str">
        <f>IF('5. Hasil Prod Ikan'!Q20&gt;0,"Ada","Tidak")</f>
        <v>Tidak</v>
      </c>
      <c r="R20" s="34">
        <f t="shared" si="1"/>
        <v>0</v>
      </c>
    </row>
    <row r="21" spans="1:18" x14ac:dyDescent="0.2">
      <c r="A21" s="14" t="s">
        <v>31</v>
      </c>
      <c r="B21" s="14" t="s">
        <v>64</v>
      </c>
      <c r="C21" s="35">
        <v>0</v>
      </c>
      <c r="D21" s="35">
        <v>0</v>
      </c>
      <c r="E21" s="35">
        <v>0</v>
      </c>
      <c r="F21" s="35">
        <v>0</v>
      </c>
      <c r="G21" s="35">
        <v>0</v>
      </c>
      <c r="H21" s="35">
        <v>0</v>
      </c>
      <c r="I21" s="35">
        <v>0</v>
      </c>
      <c r="J21" s="35">
        <v>0</v>
      </c>
      <c r="K21" s="35">
        <v>0</v>
      </c>
      <c r="L21" s="35">
        <v>0</v>
      </c>
      <c r="M21" s="35">
        <v>0</v>
      </c>
      <c r="N21" s="35">
        <v>0</v>
      </c>
      <c r="O21" s="35">
        <v>0</v>
      </c>
      <c r="P21" s="35">
        <v>0</v>
      </c>
      <c r="Q21" s="33" t="str">
        <f>IF('5. Hasil Prod Ikan'!Q21&gt;0,"Ada","Tidak")</f>
        <v>Tidak</v>
      </c>
      <c r="R21" s="34">
        <f t="shared" si="1"/>
        <v>0</v>
      </c>
    </row>
    <row r="22" spans="1:18" x14ac:dyDescent="0.2">
      <c r="A22" s="14" t="s">
        <v>31</v>
      </c>
      <c r="B22" s="14" t="s">
        <v>65</v>
      </c>
      <c r="C22" s="35">
        <v>0</v>
      </c>
      <c r="D22" s="35">
        <v>0</v>
      </c>
      <c r="E22" s="35">
        <v>0</v>
      </c>
      <c r="F22" s="35">
        <v>0</v>
      </c>
      <c r="G22" s="35">
        <v>0</v>
      </c>
      <c r="H22" s="35">
        <v>0</v>
      </c>
      <c r="I22" s="35">
        <v>0</v>
      </c>
      <c r="J22" s="35">
        <v>0</v>
      </c>
      <c r="K22" s="35">
        <v>0</v>
      </c>
      <c r="L22" s="35">
        <v>0</v>
      </c>
      <c r="M22" s="35">
        <v>0</v>
      </c>
      <c r="N22" s="35">
        <v>0</v>
      </c>
      <c r="O22" s="35">
        <v>0</v>
      </c>
      <c r="P22" s="35">
        <v>0</v>
      </c>
      <c r="Q22" s="33" t="str">
        <f>IF('5. Hasil Prod Ikan'!Q22&gt;0,"Ada","Tidak")</f>
        <v>Tidak</v>
      </c>
      <c r="R22" s="34">
        <f t="shared" si="1"/>
        <v>0</v>
      </c>
    </row>
    <row r="23" spans="1:18" x14ac:dyDescent="0.2">
      <c r="A23" s="14" t="s">
        <v>31</v>
      </c>
      <c r="B23" s="14" t="s">
        <v>66</v>
      </c>
      <c r="C23" s="35">
        <v>0</v>
      </c>
      <c r="D23" s="35">
        <v>0</v>
      </c>
      <c r="E23" s="35">
        <v>0</v>
      </c>
      <c r="F23" s="35">
        <v>0</v>
      </c>
      <c r="G23" s="35">
        <v>0</v>
      </c>
      <c r="H23" s="35">
        <v>0</v>
      </c>
      <c r="I23" s="35">
        <v>0</v>
      </c>
      <c r="J23" s="35">
        <v>0</v>
      </c>
      <c r="K23" s="35">
        <v>0</v>
      </c>
      <c r="L23" s="35">
        <v>0</v>
      </c>
      <c r="M23" s="35">
        <v>0</v>
      </c>
      <c r="N23" s="35">
        <v>0</v>
      </c>
      <c r="O23" s="35">
        <v>0</v>
      </c>
      <c r="P23" s="35">
        <v>0</v>
      </c>
      <c r="Q23" s="33" t="str">
        <f>IF('5. Hasil Prod Ikan'!Q23&gt;0,"Ada","Tidak")</f>
        <v>Tidak</v>
      </c>
      <c r="R23" s="34">
        <f t="shared" si="1"/>
        <v>0</v>
      </c>
    </row>
    <row r="24" spans="1:18" x14ac:dyDescent="0.2">
      <c r="A24" s="14" t="s">
        <v>31</v>
      </c>
      <c r="B24" s="14" t="s">
        <v>67</v>
      </c>
      <c r="C24" s="35">
        <v>0</v>
      </c>
      <c r="D24" s="35">
        <v>0</v>
      </c>
      <c r="E24" s="35">
        <v>0</v>
      </c>
      <c r="F24" s="35">
        <v>0</v>
      </c>
      <c r="G24" s="35">
        <v>0</v>
      </c>
      <c r="H24" s="35">
        <v>0</v>
      </c>
      <c r="I24" s="35">
        <v>0</v>
      </c>
      <c r="J24" s="35">
        <v>0</v>
      </c>
      <c r="K24" s="35">
        <v>0</v>
      </c>
      <c r="L24" s="35">
        <v>0</v>
      </c>
      <c r="M24" s="35">
        <v>0</v>
      </c>
      <c r="N24" s="35">
        <v>0</v>
      </c>
      <c r="O24" s="35">
        <v>0</v>
      </c>
      <c r="P24" s="35">
        <v>0</v>
      </c>
      <c r="Q24" s="33" t="str">
        <f>IF('5. Hasil Prod Ikan'!Q24&gt;0,"Ada","Tidak")</f>
        <v>Tidak</v>
      </c>
      <c r="R24" s="34">
        <f t="shared" si="1"/>
        <v>0</v>
      </c>
    </row>
    <row r="25" spans="1:18" x14ac:dyDescent="0.2">
      <c r="A25" s="14" t="s">
        <v>31</v>
      </c>
      <c r="B25" s="14" t="s">
        <v>68</v>
      </c>
      <c r="C25" s="35">
        <v>0</v>
      </c>
      <c r="D25" s="35">
        <v>0</v>
      </c>
      <c r="E25" s="35">
        <v>0</v>
      </c>
      <c r="F25" s="35">
        <v>0</v>
      </c>
      <c r="G25" s="35">
        <v>0</v>
      </c>
      <c r="H25" s="35">
        <v>0</v>
      </c>
      <c r="I25" s="35">
        <v>0</v>
      </c>
      <c r="J25" s="35">
        <v>0</v>
      </c>
      <c r="K25" s="35">
        <v>0</v>
      </c>
      <c r="L25" s="35">
        <v>0</v>
      </c>
      <c r="M25" s="35">
        <v>0</v>
      </c>
      <c r="N25" s="35">
        <v>0</v>
      </c>
      <c r="O25" s="35">
        <v>0</v>
      </c>
      <c r="P25" s="35">
        <v>0</v>
      </c>
      <c r="Q25" s="33" t="str">
        <f>IF('5. Hasil Prod Ikan'!Q25&gt;0,"Ada","Tidak")</f>
        <v>Tidak</v>
      </c>
      <c r="R25" s="34">
        <f t="shared" si="1"/>
        <v>0</v>
      </c>
    </row>
    <row r="26" spans="1:18" x14ac:dyDescent="0.2">
      <c r="A26" s="14" t="s">
        <v>31</v>
      </c>
      <c r="B26" s="14" t="s">
        <v>69</v>
      </c>
      <c r="C26" s="35">
        <v>0</v>
      </c>
      <c r="D26" s="35">
        <v>0</v>
      </c>
      <c r="E26" s="35">
        <v>0</v>
      </c>
      <c r="F26" s="35">
        <v>0</v>
      </c>
      <c r="G26" s="35">
        <v>0</v>
      </c>
      <c r="H26" s="35">
        <v>0</v>
      </c>
      <c r="I26" s="35">
        <v>0</v>
      </c>
      <c r="J26" s="35">
        <v>0</v>
      </c>
      <c r="K26" s="35">
        <v>0</v>
      </c>
      <c r="L26" s="35">
        <v>0</v>
      </c>
      <c r="M26" s="35">
        <v>0</v>
      </c>
      <c r="N26" s="35">
        <v>0</v>
      </c>
      <c r="O26" s="35">
        <v>0</v>
      </c>
      <c r="P26" s="35">
        <v>0</v>
      </c>
      <c r="Q26" s="33" t="str">
        <f>IF('5. Hasil Prod Ikan'!Q26&gt;0,"Ada","Tidak")</f>
        <v>Tidak</v>
      </c>
      <c r="R26" s="34">
        <f t="shared" si="1"/>
        <v>0</v>
      </c>
    </row>
    <row r="27" spans="1:18" x14ac:dyDescent="0.2">
      <c r="A27" s="14" t="s">
        <v>31</v>
      </c>
      <c r="B27" s="14" t="s">
        <v>70</v>
      </c>
      <c r="C27" s="35">
        <v>0</v>
      </c>
      <c r="D27" s="35">
        <v>0</v>
      </c>
      <c r="E27" s="35">
        <v>0</v>
      </c>
      <c r="F27" s="35">
        <v>0</v>
      </c>
      <c r="G27" s="35">
        <v>0</v>
      </c>
      <c r="H27" s="35">
        <v>0</v>
      </c>
      <c r="I27" s="35">
        <v>0</v>
      </c>
      <c r="J27" s="35">
        <v>0</v>
      </c>
      <c r="K27" s="35">
        <v>0</v>
      </c>
      <c r="L27" s="35">
        <v>0</v>
      </c>
      <c r="M27" s="35">
        <v>0</v>
      </c>
      <c r="N27" s="35">
        <v>0</v>
      </c>
      <c r="O27" s="35">
        <v>0</v>
      </c>
      <c r="P27" s="35">
        <v>0</v>
      </c>
      <c r="Q27" s="33" t="str">
        <f>IF('5. Hasil Prod Ikan'!Q27&gt;0,"Ada","Tidak")</f>
        <v>Tidak</v>
      </c>
      <c r="R27" s="34">
        <f t="shared" si="1"/>
        <v>0</v>
      </c>
    </row>
    <row r="28" spans="1:18" x14ac:dyDescent="0.2">
      <c r="A28" s="14" t="s">
        <v>31</v>
      </c>
      <c r="B28" s="14" t="s">
        <v>71</v>
      </c>
      <c r="C28" s="35">
        <v>0</v>
      </c>
      <c r="D28" s="35">
        <v>0</v>
      </c>
      <c r="E28" s="35">
        <v>0</v>
      </c>
      <c r="F28" s="35">
        <v>0</v>
      </c>
      <c r="G28" s="35">
        <v>0</v>
      </c>
      <c r="H28" s="35">
        <v>0</v>
      </c>
      <c r="I28" s="35">
        <v>0</v>
      </c>
      <c r="J28" s="35">
        <v>0</v>
      </c>
      <c r="K28" s="35">
        <v>0</v>
      </c>
      <c r="L28" s="35">
        <v>0</v>
      </c>
      <c r="M28" s="35">
        <v>0</v>
      </c>
      <c r="N28" s="35">
        <v>0</v>
      </c>
      <c r="O28" s="35">
        <v>0</v>
      </c>
      <c r="P28" s="35">
        <v>0</v>
      </c>
      <c r="Q28" s="33" t="str">
        <f>IF('5. Hasil Prod Ikan'!Q28&gt;0,"Ada","Tidak")</f>
        <v>Tidak</v>
      </c>
      <c r="R28" s="34">
        <f t="shared" si="1"/>
        <v>0</v>
      </c>
    </row>
    <row r="29" spans="1:18" x14ac:dyDescent="0.2">
      <c r="A29" s="14" t="s">
        <v>31</v>
      </c>
      <c r="B29" s="14" t="s">
        <v>72</v>
      </c>
      <c r="C29" s="35">
        <v>0</v>
      </c>
      <c r="D29" s="35">
        <v>0</v>
      </c>
      <c r="E29" s="35">
        <v>0</v>
      </c>
      <c r="F29" s="35">
        <v>0</v>
      </c>
      <c r="G29" s="35">
        <v>0</v>
      </c>
      <c r="H29" s="35">
        <v>0</v>
      </c>
      <c r="I29" s="35">
        <v>0</v>
      </c>
      <c r="J29" s="35">
        <v>0</v>
      </c>
      <c r="K29" s="35">
        <v>0</v>
      </c>
      <c r="L29" s="35">
        <v>0</v>
      </c>
      <c r="M29" s="35">
        <v>0</v>
      </c>
      <c r="N29" s="35">
        <v>0</v>
      </c>
      <c r="O29" s="35">
        <v>0</v>
      </c>
      <c r="P29" s="35">
        <v>0</v>
      </c>
      <c r="Q29" s="33" t="str">
        <f>IF('5. Hasil Prod Ikan'!Q29&gt;0,"Ada","Tidak")</f>
        <v>Tidak</v>
      </c>
      <c r="R29" s="34">
        <f t="shared" si="1"/>
        <v>0</v>
      </c>
    </row>
    <row r="30" spans="1:18" x14ac:dyDescent="0.2">
      <c r="A30" s="14" t="s">
        <v>31</v>
      </c>
      <c r="B30" s="14" t="s">
        <v>73</v>
      </c>
      <c r="C30" s="35">
        <v>0</v>
      </c>
      <c r="D30" s="35">
        <v>0</v>
      </c>
      <c r="E30" s="35">
        <v>0</v>
      </c>
      <c r="F30" s="35">
        <v>0</v>
      </c>
      <c r="G30" s="35">
        <v>0</v>
      </c>
      <c r="H30" s="35">
        <v>0</v>
      </c>
      <c r="I30" s="35">
        <v>0</v>
      </c>
      <c r="J30" s="35">
        <v>0</v>
      </c>
      <c r="K30" s="35">
        <v>0</v>
      </c>
      <c r="L30" s="35">
        <v>0</v>
      </c>
      <c r="M30" s="35">
        <v>0</v>
      </c>
      <c r="N30" s="35">
        <v>0</v>
      </c>
      <c r="O30" s="35">
        <v>0</v>
      </c>
      <c r="P30" s="35">
        <v>0</v>
      </c>
      <c r="Q30" s="33" t="str">
        <f>IF('5. Hasil Prod Ikan'!Q30&gt;0,"Ada","Tidak")</f>
        <v>Tidak</v>
      </c>
      <c r="R30" s="34">
        <f t="shared" si="1"/>
        <v>0</v>
      </c>
    </row>
    <row r="31" spans="1:18" x14ac:dyDescent="0.2">
      <c r="A31" s="14" t="s">
        <v>31</v>
      </c>
      <c r="B31" s="14" t="s">
        <v>74</v>
      </c>
      <c r="C31" s="35">
        <v>0</v>
      </c>
      <c r="D31" s="35">
        <v>0</v>
      </c>
      <c r="E31" s="35">
        <v>0</v>
      </c>
      <c r="F31" s="35">
        <v>0</v>
      </c>
      <c r="G31" s="35">
        <v>0</v>
      </c>
      <c r="H31" s="35">
        <v>0</v>
      </c>
      <c r="I31" s="35">
        <v>0</v>
      </c>
      <c r="J31" s="35">
        <v>0</v>
      </c>
      <c r="K31" s="35">
        <v>0</v>
      </c>
      <c r="L31" s="35">
        <v>0</v>
      </c>
      <c r="M31" s="35">
        <v>0</v>
      </c>
      <c r="N31" s="35">
        <v>0</v>
      </c>
      <c r="O31" s="35">
        <v>0</v>
      </c>
      <c r="P31" s="35">
        <v>0</v>
      </c>
      <c r="Q31" s="33" t="str">
        <f>IF('5. Hasil Prod Ikan'!Q31&gt;0,"Ada","Tidak")</f>
        <v>Tidak</v>
      </c>
      <c r="R31" s="34">
        <f t="shared" si="1"/>
        <v>0</v>
      </c>
    </row>
    <row r="32" spans="1:18" x14ac:dyDescent="0.2">
      <c r="A32" s="14" t="s">
        <v>31</v>
      </c>
      <c r="B32" s="14" t="s">
        <v>75</v>
      </c>
      <c r="C32" s="35">
        <v>0</v>
      </c>
      <c r="D32" s="35">
        <v>0</v>
      </c>
      <c r="E32" s="35">
        <v>0</v>
      </c>
      <c r="F32" s="35">
        <v>0</v>
      </c>
      <c r="G32" s="35">
        <v>0</v>
      </c>
      <c r="H32" s="35">
        <v>0</v>
      </c>
      <c r="I32" s="35">
        <v>0</v>
      </c>
      <c r="J32" s="35">
        <v>0</v>
      </c>
      <c r="K32" s="35">
        <v>0</v>
      </c>
      <c r="L32" s="35">
        <v>0</v>
      </c>
      <c r="M32" s="35">
        <v>0</v>
      </c>
      <c r="N32" s="35">
        <v>0</v>
      </c>
      <c r="O32" s="35">
        <v>0</v>
      </c>
      <c r="P32" s="35">
        <v>0</v>
      </c>
      <c r="Q32" s="33" t="str">
        <f>IF('5. Hasil Prod Ikan'!Q32&gt;0,"Ada","Tidak")</f>
        <v>Tidak</v>
      </c>
      <c r="R32" s="34">
        <f t="shared" si="1"/>
        <v>0</v>
      </c>
    </row>
    <row r="33" spans="1:18" x14ac:dyDescent="0.2">
      <c r="A33" s="14" t="s">
        <v>31</v>
      </c>
      <c r="B33" s="14" t="s">
        <v>76</v>
      </c>
      <c r="C33" s="35">
        <v>0</v>
      </c>
      <c r="D33" s="35">
        <v>0</v>
      </c>
      <c r="E33" s="35">
        <v>0</v>
      </c>
      <c r="F33" s="35">
        <v>0</v>
      </c>
      <c r="G33" s="35">
        <v>0</v>
      </c>
      <c r="H33" s="35">
        <v>0</v>
      </c>
      <c r="I33" s="35">
        <v>0</v>
      </c>
      <c r="J33" s="35">
        <v>0</v>
      </c>
      <c r="K33" s="35">
        <v>0</v>
      </c>
      <c r="L33" s="35">
        <v>0</v>
      </c>
      <c r="M33" s="35">
        <v>0</v>
      </c>
      <c r="N33" s="35">
        <v>0</v>
      </c>
      <c r="O33" s="35">
        <v>0</v>
      </c>
      <c r="P33" s="35">
        <v>0</v>
      </c>
      <c r="Q33" s="33" t="str">
        <f>IF('5. Hasil Prod Ikan'!Q33&gt;0,"Ada","Tidak")</f>
        <v>Tidak</v>
      </c>
      <c r="R33" s="34">
        <f t="shared" si="1"/>
        <v>0</v>
      </c>
    </row>
    <row r="34" spans="1:18" x14ac:dyDescent="0.2">
      <c r="A34" s="14" t="s">
        <v>31</v>
      </c>
      <c r="B34" s="14" t="s">
        <v>77</v>
      </c>
      <c r="C34" s="35">
        <v>0</v>
      </c>
      <c r="D34" s="35">
        <v>0</v>
      </c>
      <c r="E34" s="35">
        <v>0</v>
      </c>
      <c r="F34" s="35">
        <v>0</v>
      </c>
      <c r="G34" s="35">
        <v>0</v>
      </c>
      <c r="H34" s="35">
        <v>0</v>
      </c>
      <c r="I34" s="35">
        <v>0</v>
      </c>
      <c r="J34" s="35">
        <v>0</v>
      </c>
      <c r="K34" s="35">
        <v>0</v>
      </c>
      <c r="L34" s="35">
        <v>0</v>
      </c>
      <c r="M34" s="35">
        <v>0</v>
      </c>
      <c r="N34" s="35">
        <v>0</v>
      </c>
      <c r="O34" s="35">
        <v>0</v>
      </c>
      <c r="P34" s="35">
        <v>0</v>
      </c>
      <c r="Q34" s="33" t="str">
        <f>IF('5. Hasil Prod Ikan'!Q34&gt;0,"Ada","Tidak")</f>
        <v>Tidak</v>
      </c>
      <c r="R34" s="34">
        <f t="shared" si="1"/>
        <v>0</v>
      </c>
    </row>
    <row r="35" spans="1:18" x14ac:dyDescent="0.2">
      <c r="A35" s="14" t="s">
        <v>31</v>
      </c>
      <c r="B35" s="14" t="s">
        <v>78</v>
      </c>
      <c r="C35" s="35">
        <v>0</v>
      </c>
      <c r="D35" s="35">
        <v>0</v>
      </c>
      <c r="E35" s="35">
        <v>0</v>
      </c>
      <c r="F35" s="35">
        <v>0</v>
      </c>
      <c r="G35" s="35">
        <v>0</v>
      </c>
      <c r="H35" s="35">
        <v>0</v>
      </c>
      <c r="I35" s="35">
        <v>0</v>
      </c>
      <c r="J35" s="35">
        <v>0</v>
      </c>
      <c r="K35" s="35">
        <v>0</v>
      </c>
      <c r="L35" s="35">
        <v>0</v>
      </c>
      <c r="M35" s="35">
        <v>0</v>
      </c>
      <c r="N35" s="35">
        <v>0</v>
      </c>
      <c r="O35" s="35">
        <v>0</v>
      </c>
      <c r="P35" s="35">
        <v>0</v>
      </c>
      <c r="Q35" s="33" t="str">
        <f>IF('5. Hasil Prod Ikan'!Q35&gt;0,"Ada","Tidak")</f>
        <v>Tidak</v>
      </c>
      <c r="R35" s="34">
        <f t="shared" si="1"/>
        <v>0</v>
      </c>
    </row>
    <row r="36" spans="1:18" x14ac:dyDescent="0.2">
      <c r="A36" s="14" t="s">
        <v>31</v>
      </c>
      <c r="B36" s="14" t="s">
        <v>79</v>
      </c>
      <c r="C36" s="35">
        <v>0</v>
      </c>
      <c r="D36" s="35">
        <v>0</v>
      </c>
      <c r="E36" s="35">
        <v>0</v>
      </c>
      <c r="F36" s="35">
        <v>0</v>
      </c>
      <c r="G36" s="35">
        <v>0</v>
      </c>
      <c r="H36" s="35">
        <v>0</v>
      </c>
      <c r="I36" s="35">
        <v>0</v>
      </c>
      <c r="J36" s="35">
        <v>0</v>
      </c>
      <c r="K36" s="35">
        <v>0</v>
      </c>
      <c r="L36" s="35">
        <v>0</v>
      </c>
      <c r="M36" s="35">
        <v>0</v>
      </c>
      <c r="N36" s="35">
        <v>0</v>
      </c>
      <c r="O36" s="35">
        <v>0</v>
      </c>
      <c r="P36" s="35">
        <v>0</v>
      </c>
      <c r="Q36" s="33" t="str">
        <f>IF('5. Hasil Prod Ikan'!Q36&gt;0,"Ada","Tidak")</f>
        <v>Tidak</v>
      </c>
      <c r="R36" s="34">
        <f t="shared" si="1"/>
        <v>0</v>
      </c>
    </row>
    <row r="37" spans="1:18" x14ac:dyDescent="0.2">
      <c r="A37" s="14" t="s">
        <v>31</v>
      </c>
      <c r="B37" s="14" t="s">
        <v>80</v>
      </c>
      <c r="C37" s="35">
        <v>0</v>
      </c>
      <c r="D37" s="35">
        <v>0</v>
      </c>
      <c r="E37" s="35">
        <v>0</v>
      </c>
      <c r="F37" s="35">
        <v>0</v>
      </c>
      <c r="G37" s="35">
        <v>0</v>
      </c>
      <c r="H37" s="35">
        <v>0</v>
      </c>
      <c r="I37" s="35">
        <v>0</v>
      </c>
      <c r="J37" s="35">
        <v>0</v>
      </c>
      <c r="K37" s="35">
        <v>0</v>
      </c>
      <c r="L37" s="35">
        <v>0</v>
      </c>
      <c r="M37" s="35">
        <v>0</v>
      </c>
      <c r="N37" s="35">
        <v>0</v>
      </c>
      <c r="O37" s="35">
        <v>0</v>
      </c>
      <c r="P37" s="35">
        <v>0</v>
      </c>
      <c r="Q37" s="33" t="str">
        <f>IF('5. Hasil Prod Ikan'!Q37&gt;0,"Ada","Tidak")</f>
        <v>Tidak</v>
      </c>
      <c r="R37" s="34">
        <f t="shared" si="1"/>
        <v>0</v>
      </c>
    </row>
    <row r="38" spans="1:18" x14ac:dyDescent="0.2">
      <c r="A38" s="14" t="s">
        <v>31</v>
      </c>
      <c r="B38" s="14" t="s">
        <v>81</v>
      </c>
      <c r="C38" s="35">
        <v>0</v>
      </c>
      <c r="D38" s="35">
        <v>0</v>
      </c>
      <c r="E38" s="35">
        <v>0</v>
      </c>
      <c r="F38" s="35">
        <v>0</v>
      </c>
      <c r="G38" s="35">
        <v>0</v>
      </c>
      <c r="H38" s="35">
        <v>0</v>
      </c>
      <c r="I38" s="35">
        <v>0</v>
      </c>
      <c r="J38" s="35">
        <v>0</v>
      </c>
      <c r="K38" s="35">
        <v>0</v>
      </c>
      <c r="L38" s="35">
        <v>0</v>
      </c>
      <c r="M38" s="35">
        <v>0</v>
      </c>
      <c r="N38" s="35">
        <v>0</v>
      </c>
      <c r="O38" s="35">
        <v>0</v>
      </c>
      <c r="P38" s="35">
        <v>0</v>
      </c>
      <c r="Q38" s="33" t="str">
        <f>IF('5. Hasil Prod Ikan'!Q38&gt;0,"Ada","Tidak")</f>
        <v>Tidak</v>
      </c>
      <c r="R38" s="34">
        <f t="shared" si="1"/>
        <v>0</v>
      </c>
    </row>
    <row r="39" spans="1:18" x14ac:dyDescent="0.2">
      <c r="A39" s="14" t="s">
        <v>31</v>
      </c>
      <c r="B39" s="14" t="s">
        <v>82</v>
      </c>
      <c r="C39" s="35">
        <v>0</v>
      </c>
      <c r="D39" s="35">
        <v>0</v>
      </c>
      <c r="E39" s="35">
        <v>0</v>
      </c>
      <c r="F39" s="35">
        <v>0</v>
      </c>
      <c r="G39" s="35">
        <v>0</v>
      </c>
      <c r="H39" s="35">
        <v>0</v>
      </c>
      <c r="I39" s="35">
        <v>0</v>
      </c>
      <c r="J39" s="35">
        <v>0</v>
      </c>
      <c r="K39" s="35">
        <v>0</v>
      </c>
      <c r="L39" s="35">
        <v>0</v>
      </c>
      <c r="M39" s="35">
        <v>0</v>
      </c>
      <c r="N39" s="35">
        <v>0</v>
      </c>
      <c r="O39" s="35">
        <v>0</v>
      </c>
      <c r="P39" s="35">
        <v>0</v>
      </c>
      <c r="Q39" s="33" t="str">
        <f>IF('5. Hasil Prod Ikan'!Q39&gt;0,"Ada","Tidak")</f>
        <v>Tidak</v>
      </c>
      <c r="R39" s="34">
        <f t="shared" si="1"/>
        <v>0</v>
      </c>
    </row>
    <row r="40" spans="1:18" x14ac:dyDescent="0.2">
      <c r="A40" s="14" t="s">
        <v>31</v>
      </c>
      <c r="B40" s="14" t="s">
        <v>83</v>
      </c>
      <c r="C40" s="35">
        <v>0</v>
      </c>
      <c r="D40" s="35">
        <v>0</v>
      </c>
      <c r="E40" s="35">
        <v>0</v>
      </c>
      <c r="F40" s="35">
        <v>0</v>
      </c>
      <c r="G40" s="35">
        <v>0</v>
      </c>
      <c r="H40" s="35">
        <v>0</v>
      </c>
      <c r="I40" s="35">
        <v>0</v>
      </c>
      <c r="J40" s="35">
        <v>0</v>
      </c>
      <c r="K40" s="35">
        <v>0</v>
      </c>
      <c r="L40" s="35">
        <v>0</v>
      </c>
      <c r="M40" s="35">
        <v>0</v>
      </c>
      <c r="N40" s="35">
        <v>0</v>
      </c>
      <c r="O40" s="35">
        <v>0</v>
      </c>
      <c r="P40" s="35">
        <v>0</v>
      </c>
      <c r="Q40" s="33" t="str">
        <f>IF('5. Hasil Prod Ikan'!Q40&gt;0,"Ada","Tidak")</f>
        <v>Tidak</v>
      </c>
      <c r="R40" s="34">
        <f t="shared" si="1"/>
        <v>0</v>
      </c>
    </row>
    <row r="41" spans="1:18" x14ac:dyDescent="0.2">
      <c r="A41" s="14" t="s">
        <v>31</v>
      </c>
      <c r="B41" s="14" t="s">
        <v>84</v>
      </c>
      <c r="C41" s="35">
        <v>0</v>
      </c>
      <c r="D41" s="35">
        <v>0</v>
      </c>
      <c r="E41" s="35">
        <v>0</v>
      </c>
      <c r="F41" s="35">
        <v>0</v>
      </c>
      <c r="G41" s="35">
        <v>0</v>
      </c>
      <c r="H41" s="35">
        <v>0</v>
      </c>
      <c r="I41" s="35">
        <v>0</v>
      </c>
      <c r="J41" s="35">
        <v>0</v>
      </c>
      <c r="K41" s="35">
        <v>0</v>
      </c>
      <c r="L41" s="35">
        <v>0</v>
      </c>
      <c r="M41" s="35">
        <v>0</v>
      </c>
      <c r="N41" s="35">
        <v>0</v>
      </c>
      <c r="O41" s="35">
        <v>0</v>
      </c>
      <c r="P41" s="35">
        <v>0</v>
      </c>
      <c r="Q41" s="33" t="str">
        <f>IF('5. Hasil Prod Ikan'!Q41&gt;0,"Ada","Tidak")</f>
        <v>Tidak</v>
      </c>
      <c r="R41" s="34">
        <f t="shared" ref="R41:R72" si="2">IFERROR(AVERAGEIF(C41:P41,"&gt;0"),0)</f>
        <v>0</v>
      </c>
    </row>
    <row r="42" spans="1:18" x14ac:dyDescent="0.2">
      <c r="A42" s="14" t="s">
        <v>31</v>
      </c>
      <c r="B42" s="14" t="s">
        <v>85</v>
      </c>
      <c r="C42" s="35">
        <v>0</v>
      </c>
      <c r="D42" s="35">
        <v>0</v>
      </c>
      <c r="E42" s="35">
        <v>0</v>
      </c>
      <c r="F42" s="35">
        <v>0</v>
      </c>
      <c r="G42" s="35">
        <v>0</v>
      </c>
      <c r="H42" s="35">
        <v>0</v>
      </c>
      <c r="I42" s="35">
        <v>0</v>
      </c>
      <c r="J42" s="35">
        <v>0</v>
      </c>
      <c r="K42" s="35">
        <v>0</v>
      </c>
      <c r="L42" s="35">
        <v>0</v>
      </c>
      <c r="M42" s="35">
        <v>0</v>
      </c>
      <c r="N42" s="35">
        <v>0</v>
      </c>
      <c r="O42" s="35">
        <v>0</v>
      </c>
      <c r="P42" s="35">
        <v>0</v>
      </c>
      <c r="Q42" s="33" t="str">
        <f>IF('5. Hasil Prod Ikan'!Q42&gt;0,"Ada","Tidak")</f>
        <v>Tidak</v>
      </c>
      <c r="R42" s="34">
        <f t="shared" si="2"/>
        <v>0</v>
      </c>
    </row>
    <row r="43" spans="1:18" x14ac:dyDescent="0.2">
      <c r="A43" s="14" t="s">
        <v>31</v>
      </c>
      <c r="B43" s="14" t="s">
        <v>25</v>
      </c>
      <c r="C43" s="35">
        <v>0</v>
      </c>
      <c r="D43" s="35">
        <v>0</v>
      </c>
      <c r="E43" s="35">
        <v>0</v>
      </c>
      <c r="F43" s="35">
        <v>0</v>
      </c>
      <c r="G43" s="35">
        <v>0</v>
      </c>
      <c r="H43" s="35">
        <v>0</v>
      </c>
      <c r="I43" s="35">
        <v>0</v>
      </c>
      <c r="J43" s="35">
        <v>0</v>
      </c>
      <c r="K43" s="35">
        <v>0</v>
      </c>
      <c r="L43" s="35">
        <v>0</v>
      </c>
      <c r="M43" s="35">
        <v>0</v>
      </c>
      <c r="N43" s="35">
        <v>0</v>
      </c>
      <c r="O43" s="35">
        <v>0</v>
      </c>
      <c r="P43" s="35">
        <v>0</v>
      </c>
      <c r="Q43" s="33" t="str">
        <f>IF('5. Hasil Prod Ikan'!Q43&gt;0,"Ada","Tidak")</f>
        <v>Tidak</v>
      </c>
      <c r="R43" s="34">
        <f t="shared" si="2"/>
        <v>0</v>
      </c>
    </row>
    <row r="44" spans="1:18" x14ac:dyDescent="0.2">
      <c r="A44" s="14" t="s">
        <v>31</v>
      </c>
      <c r="B44" s="14" t="s">
        <v>86</v>
      </c>
      <c r="C44" s="35">
        <v>0</v>
      </c>
      <c r="D44" s="35">
        <v>0</v>
      </c>
      <c r="E44" s="35">
        <v>0</v>
      </c>
      <c r="F44" s="35">
        <v>0</v>
      </c>
      <c r="G44" s="35">
        <v>0</v>
      </c>
      <c r="H44" s="35">
        <v>0</v>
      </c>
      <c r="I44" s="35">
        <v>0</v>
      </c>
      <c r="J44" s="35">
        <v>0</v>
      </c>
      <c r="K44" s="35">
        <v>0</v>
      </c>
      <c r="L44" s="35">
        <v>0</v>
      </c>
      <c r="M44" s="35">
        <v>0</v>
      </c>
      <c r="N44" s="35">
        <v>0</v>
      </c>
      <c r="O44" s="35">
        <v>0</v>
      </c>
      <c r="P44" s="35">
        <v>0</v>
      </c>
      <c r="Q44" s="33" t="str">
        <f>IF('5. Hasil Prod Ikan'!Q44&gt;0,"Ada","Tidak")</f>
        <v>Tidak</v>
      </c>
      <c r="R44" s="34">
        <f t="shared" si="2"/>
        <v>0</v>
      </c>
    </row>
    <row r="45" spans="1:18" x14ac:dyDescent="0.2">
      <c r="A45" s="14" t="s">
        <v>31</v>
      </c>
      <c r="B45" s="14" t="s">
        <v>87</v>
      </c>
      <c r="C45" s="35">
        <v>0</v>
      </c>
      <c r="D45" s="35">
        <v>0</v>
      </c>
      <c r="E45" s="35">
        <v>0</v>
      </c>
      <c r="F45" s="35">
        <v>0</v>
      </c>
      <c r="G45" s="35">
        <v>0</v>
      </c>
      <c r="H45" s="35">
        <v>0</v>
      </c>
      <c r="I45" s="35">
        <v>0</v>
      </c>
      <c r="J45" s="35">
        <v>0</v>
      </c>
      <c r="K45" s="35">
        <v>0</v>
      </c>
      <c r="L45" s="35">
        <v>0</v>
      </c>
      <c r="M45" s="35">
        <v>0</v>
      </c>
      <c r="N45" s="35">
        <v>0</v>
      </c>
      <c r="O45" s="35">
        <v>0</v>
      </c>
      <c r="P45" s="35">
        <v>0</v>
      </c>
      <c r="Q45" s="33" t="str">
        <f>IF('5. Hasil Prod Ikan'!Q45&gt;0,"Ada","Tidak")</f>
        <v>Tidak</v>
      </c>
      <c r="R45" s="34">
        <f t="shared" si="2"/>
        <v>0</v>
      </c>
    </row>
    <row r="46" spans="1:18" x14ac:dyDescent="0.2">
      <c r="A46" s="14" t="s">
        <v>31</v>
      </c>
      <c r="B46" s="14" t="s">
        <v>88</v>
      </c>
      <c r="C46" s="35">
        <v>0</v>
      </c>
      <c r="D46" s="35">
        <v>0</v>
      </c>
      <c r="E46" s="35">
        <v>0</v>
      </c>
      <c r="F46" s="35">
        <v>0</v>
      </c>
      <c r="G46" s="35">
        <v>0</v>
      </c>
      <c r="H46" s="35">
        <v>0</v>
      </c>
      <c r="I46" s="35">
        <v>0</v>
      </c>
      <c r="J46" s="35">
        <v>0</v>
      </c>
      <c r="K46" s="35">
        <v>0</v>
      </c>
      <c r="L46" s="35">
        <v>0</v>
      </c>
      <c r="M46" s="35">
        <v>0</v>
      </c>
      <c r="N46" s="35">
        <v>0</v>
      </c>
      <c r="O46" s="35">
        <v>0</v>
      </c>
      <c r="P46" s="35">
        <v>0</v>
      </c>
      <c r="Q46" s="33" t="str">
        <f>IF('5. Hasil Prod Ikan'!Q46&gt;0,"Ada","Tidak")</f>
        <v>Tidak</v>
      </c>
      <c r="R46" s="34">
        <f t="shared" si="2"/>
        <v>0</v>
      </c>
    </row>
    <row r="47" spans="1:18" x14ac:dyDescent="0.2">
      <c r="A47" s="14" t="s">
        <v>31</v>
      </c>
      <c r="B47" s="14" t="s">
        <v>89</v>
      </c>
      <c r="C47" s="35">
        <v>0</v>
      </c>
      <c r="D47" s="35">
        <v>0</v>
      </c>
      <c r="E47" s="35">
        <v>0</v>
      </c>
      <c r="F47" s="35">
        <v>0</v>
      </c>
      <c r="G47" s="35">
        <v>0</v>
      </c>
      <c r="H47" s="35">
        <v>0</v>
      </c>
      <c r="I47" s="35">
        <v>0</v>
      </c>
      <c r="J47" s="35">
        <v>0</v>
      </c>
      <c r="K47" s="35">
        <v>0</v>
      </c>
      <c r="L47" s="35">
        <v>0</v>
      </c>
      <c r="M47" s="35">
        <v>0</v>
      </c>
      <c r="N47" s="35">
        <v>0</v>
      </c>
      <c r="O47" s="35">
        <v>0</v>
      </c>
      <c r="P47" s="35">
        <v>0</v>
      </c>
      <c r="Q47" s="33" t="str">
        <f>IF('5. Hasil Prod Ikan'!Q47&gt;0,"Ada","Tidak")</f>
        <v>Tidak</v>
      </c>
      <c r="R47" s="34">
        <f t="shared" si="2"/>
        <v>0</v>
      </c>
    </row>
    <row r="48" spans="1:18" x14ac:dyDescent="0.2">
      <c r="A48" s="14" t="s">
        <v>31</v>
      </c>
      <c r="B48" s="14" t="s">
        <v>90</v>
      </c>
      <c r="C48" s="35">
        <v>0</v>
      </c>
      <c r="D48" s="35">
        <v>0</v>
      </c>
      <c r="E48" s="35">
        <v>0</v>
      </c>
      <c r="F48" s="35">
        <v>0</v>
      </c>
      <c r="G48" s="35">
        <v>0</v>
      </c>
      <c r="H48" s="35">
        <v>0</v>
      </c>
      <c r="I48" s="35">
        <v>0</v>
      </c>
      <c r="J48" s="35">
        <v>0</v>
      </c>
      <c r="K48" s="35">
        <v>0</v>
      </c>
      <c r="L48" s="35">
        <v>0</v>
      </c>
      <c r="M48" s="35">
        <v>0</v>
      </c>
      <c r="N48" s="35">
        <v>0</v>
      </c>
      <c r="O48" s="35">
        <v>0</v>
      </c>
      <c r="P48" s="35">
        <v>0</v>
      </c>
      <c r="Q48" s="33" t="str">
        <f>IF('5. Hasil Prod Ikan'!Q48&gt;0,"Ada","Tidak")</f>
        <v>Tidak</v>
      </c>
      <c r="R48" s="34">
        <f t="shared" si="2"/>
        <v>0</v>
      </c>
    </row>
    <row r="49" spans="1:18" x14ac:dyDescent="0.2">
      <c r="A49" s="14" t="s">
        <v>31</v>
      </c>
      <c r="B49" s="14" t="s">
        <v>91</v>
      </c>
      <c r="C49" s="35">
        <v>0</v>
      </c>
      <c r="D49" s="35">
        <v>0</v>
      </c>
      <c r="E49" s="35">
        <v>0</v>
      </c>
      <c r="F49" s="35">
        <v>0</v>
      </c>
      <c r="G49" s="35">
        <v>0</v>
      </c>
      <c r="H49" s="35">
        <v>0</v>
      </c>
      <c r="I49" s="35">
        <v>0</v>
      </c>
      <c r="J49" s="35">
        <v>0</v>
      </c>
      <c r="K49" s="35">
        <v>0</v>
      </c>
      <c r="L49" s="35">
        <v>0</v>
      </c>
      <c r="M49" s="35">
        <v>0</v>
      </c>
      <c r="N49" s="35">
        <v>0</v>
      </c>
      <c r="O49" s="35">
        <v>0</v>
      </c>
      <c r="P49" s="35">
        <v>0</v>
      </c>
      <c r="Q49" s="33" t="str">
        <f>IF('5. Hasil Prod Ikan'!Q49&gt;0,"Ada","Tidak")</f>
        <v>Tidak</v>
      </c>
      <c r="R49" s="34">
        <f t="shared" si="2"/>
        <v>0</v>
      </c>
    </row>
    <row r="50" spans="1:18" x14ac:dyDescent="0.2">
      <c r="A50" s="14" t="s">
        <v>31</v>
      </c>
      <c r="B50" s="14" t="s">
        <v>92</v>
      </c>
      <c r="C50" s="35">
        <v>0</v>
      </c>
      <c r="D50" s="35">
        <v>0</v>
      </c>
      <c r="E50" s="35">
        <v>0</v>
      </c>
      <c r="F50" s="35">
        <v>0</v>
      </c>
      <c r="G50" s="35">
        <v>0</v>
      </c>
      <c r="H50" s="35">
        <v>0</v>
      </c>
      <c r="I50" s="35">
        <v>0</v>
      </c>
      <c r="J50" s="35">
        <v>0</v>
      </c>
      <c r="K50" s="35">
        <v>0</v>
      </c>
      <c r="L50" s="35">
        <v>0</v>
      </c>
      <c r="M50" s="35">
        <v>0</v>
      </c>
      <c r="N50" s="35">
        <v>0</v>
      </c>
      <c r="O50" s="35">
        <v>0</v>
      </c>
      <c r="P50" s="35">
        <v>0</v>
      </c>
      <c r="Q50" s="33" t="str">
        <f>IF('5. Hasil Prod Ikan'!Q50&gt;0,"Ada","Tidak")</f>
        <v>Tidak</v>
      </c>
      <c r="R50" s="34">
        <f t="shared" si="2"/>
        <v>0</v>
      </c>
    </row>
    <row r="51" spans="1:18" x14ac:dyDescent="0.2">
      <c r="A51" s="14" t="s">
        <v>31</v>
      </c>
      <c r="B51" s="14" t="s">
        <v>93</v>
      </c>
      <c r="C51" s="35">
        <v>0</v>
      </c>
      <c r="D51" s="35">
        <v>0</v>
      </c>
      <c r="E51" s="35">
        <v>0</v>
      </c>
      <c r="F51" s="35">
        <v>0</v>
      </c>
      <c r="G51" s="35">
        <v>0</v>
      </c>
      <c r="H51" s="35">
        <v>0</v>
      </c>
      <c r="I51" s="35">
        <v>0</v>
      </c>
      <c r="J51" s="35">
        <v>0</v>
      </c>
      <c r="K51" s="35">
        <v>0</v>
      </c>
      <c r="L51" s="35">
        <v>0</v>
      </c>
      <c r="M51" s="35">
        <v>0</v>
      </c>
      <c r="N51" s="35">
        <v>0</v>
      </c>
      <c r="O51" s="35">
        <v>0</v>
      </c>
      <c r="P51" s="35">
        <v>0</v>
      </c>
      <c r="Q51" s="33" t="str">
        <f>IF('5. Hasil Prod Ikan'!Q51&gt;0,"Ada","Tidak")</f>
        <v>Tidak</v>
      </c>
      <c r="R51" s="34">
        <f t="shared" si="2"/>
        <v>0</v>
      </c>
    </row>
    <row r="52" spans="1:18" x14ac:dyDescent="0.2">
      <c r="A52" s="14" t="s">
        <v>31</v>
      </c>
      <c r="B52" s="14" t="s">
        <v>94</v>
      </c>
      <c r="C52" s="35">
        <v>0</v>
      </c>
      <c r="D52" s="35">
        <v>0</v>
      </c>
      <c r="E52" s="35">
        <v>0</v>
      </c>
      <c r="F52" s="35">
        <v>0</v>
      </c>
      <c r="G52" s="35">
        <v>0</v>
      </c>
      <c r="H52" s="35">
        <v>0</v>
      </c>
      <c r="I52" s="35">
        <v>0</v>
      </c>
      <c r="J52" s="35">
        <v>0</v>
      </c>
      <c r="K52" s="35">
        <v>0</v>
      </c>
      <c r="L52" s="35">
        <v>0</v>
      </c>
      <c r="M52" s="35">
        <v>0</v>
      </c>
      <c r="N52" s="35">
        <v>0</v>
      </c>
      <c r="O52" s="35">
        <v>0</v>
      </c>
      <c r="P52" s="35">
        <v>0</v>
      </c>
      <c r="Q52" s="33" t="str">
        <f>IF('5. Hasil Prod Ikan'!Q52&gt;0,"Ada","Tidak")</f>
        <v>Tidak</v>
      </c>
      <c r="R52" s="34">
        <f t="shared" si="2"/>
        <v>0</v>
      </c>
    </row>
    <row r="53" spans="1:18" x14ac:dyDescent="0.2">
      <c r="A53" s="14" t="s">
        <v>31</v>
      </c>
      <c r="B53" s="14" t="s">
        <v>95</v>
      </c>
      <c r="C53" s="35">
        <v>0</v>
      </c>
      <c r="D53" s="35">
        <v>0</v>
      </c>
      <c r="E53" s="35">
        <v>0</v>
      </c>
      <c r="F53" s="35">
        <v>0</v>
      </c>
      <c r="G53" s="35">
        <v>0</v>
      </c>
      <c r="H53" s="35">
        <v>0</v>
      </c>
      <c r="I53" s="35">
        <v>0</v>
      </c>
      <c r="J53" s="35">
        <v>0</v>
      </c>
      <c r="K53" s="35">
        <v>0</v>
      </c>
      <c r="L53" s="35">
        <v>0</v>
      </c>
      <c r="M53" s="35">
        <v>0</v>
      </c>
      <c r="N53" s="35">
        <v>0</v>
      </c>
      <c r="O53" s="35">
        <v>0</v>
      </c>
      <c r="P53" s="35">
        <v>0</v>
      </c>
      <c r="Q53" s="33" t="str">
        <f>IF('5. Hasil Prod Ikan'!Q53&gt;0,"Ada","Tidak")</f>
        <v>Tidak</v>
      </c>
      <c r="R53" s="34">
        <f t="shared" si="2"/>
        <v>0</v>
      </c>
    </row>
    <row r="54" spans="1:18" x14ac:dyDescent="0.2">
      <c r="A54" s="14" t="s">
        <v>31</v>
      </c>
      <c r="B54" s="14" t="s">
        <v>96</v>
      </c>
      <c r="C54" s="35">
        <v>0</v>
      </c>
      <c r="D54" s="35">
        <v>0</v>
      </c>
      <c r="E54" s="35">
        <v>0</v>
      </c>
      <c r="F54" s="35">
        <v>0</v>
      </c>
      <c r="G54" s="35">
        <v>0</v>
      </c>
      <c r="H54" s="35">
        <v>0</v>
      </c>
      <c r="I54" s="35">
        <v>0</v>
      </c>
      <c r="J54" s="35">
        <v>0</v>
      </c>
      <c r="K54" s="35">
        <v>0</v>
      </c>
      <c r="L54" s="35">
        <v>0</v>
      </c>
      <c r="M54" s="35">
        <v>0</v>
      </c>
      <c r="N54" s="35">
        <v>0</v>
      </c>
      <c r="O54" s="35">
        <v>0</v>
      </c>
      <c r="P54" s="35">
        <v>0</v>
      </c>
      <c r="Q54" s="33" t="str">
        <f>IF('5. Hasil Prod Ikan'!Q54&gt;0,"Ada","Tidak")</f>
        <v>Tidak</v>
      </c>
      <c r="R54" s="34">
        <f t="shared" si="2"/>
        <v>0</v>
      </c>
    </row>
    <row r="55" spans="1:18" x14ac:dyDescent="0.2">
      <c r="A55" s="14" t="s">
        <v>31</v>
      </c>
      <c r="B55" s="14" t="s">
        <v>97</v>
      </c>
      <c r="C55" s="35">
        <v>0</v>
      </c>
      <c r="D55" s="35">
        <v>0</v>
      </c>
      <c r="E55" s="35">
        <v>0</v>
      </c>
      <c r="F55" s="35">
        <v>0</v>
      </c>
      <c r="G55" s="35">
        <v>0</v>
      </c>
      <c r="H55" s="35">
        <v>0</v>
      </c>
      <c r="I55" s="35">
        <v>0</v>
      </c>
      <c r="J55" s="35">
        <v>0</v>
      </c>
      <c r="K55" s="35">
        <v>0</v>
      </c>
      <c r="L55" s="35">
        <v>0</v>
      </c>
      <c r="M55" s="35">
        <v>0</v>
      </c>
      <c r="N55" s="35">
        <v>0</v>
      </c>
      <c r="O55" s="35">
        <v>0</v>
      </c>
      <c r="P55" s="35">
        <v>0</v>
      </c>
      <c r="Q55" s="33" t="str">
        <f>IF('5. Hasil Prod Ikan'!Q55&gt;0,"Ada","Tidak")</f>
        <v>Tidak</v>
      </c>
      <c r="R55" s="34">
        <f t="shared" si="2"/>
        <v>0</v>
      </c>
    </row>
    <row r="56" spans="1:18" x14ac:dyDescent="0.2">
      <c r="A56" s="14" t="s">
        <v>31</v>
      </c>
      <c r="B56" s="14" t="s">
        <v>98</v>
      </c>
      <c r="C56" s="35">
        <v>0</v>
      </c>
      <c r="D56" s="35">
        <v>0</v>
      </c>
      <c r="E56" s="35">
        <v>0</v>
      </c>
      <c r="F56" s="35">
        <v>0</v>
      </c>
      <c r="G56" s="35">
        <v>0</v>
      </c>
      <c r="H56" s="35">
        <v>0</v>
      </c>
      <c r="I56" s="35">
        <v>0</v>
      </c>
      <c r="J56" s="35">
        <v>0</v>
      </c>
      <c r="K56" s="35">
        <v>0</v>
      </c>
      <c r="L56" s="35">
        <v>0</v>
      </c>
      <c r="M56" s="35">
        <v>0</v>
      </c>
      <c r="N56" s="35">
        <v>0</v>
      </c>
      <c r="O56" s="35">
        <v>0</v>
      </c>
      <c r="P56" s="35">
        <v>0</v>
      </c>
      <c r="Q56" s="33" t="str">
        <f>IF('5. Hasil Prod Ikan'!Q56&gt;0,"Ada","Tidak")</f>
        <v>Tidak</v>
      </c>
      <c r="R56" s="34">
        <f t="shared" si="2"/>
        <v>0</v>
      </c>
    </row>
    <row r="57" spans="1:18" x14ac:dyDescent="0.2">
      <c r="A57" s="14" t="s">
        <v>31</v>
      </c>
      <c r="B57" s="14" t="s">
        <v>99</v>
      </c>
      <c r="C57" s="35">
        <v>0</v>
      </c>
      <c r="D57" s="35">
        <v>0</v>
      </c>
      <c r="E57" s="35">
        <v>0</v>
      </c>
      <c r="F57" s="35">
        <v>0</v>
      </c>
      <c r="G57" s="35">
        <v>0</v>
      </c>
      <c r="H57" s="35">
        <v>0</v>
      </c>
      <c r="I57" s="35">
        <v>0</v>
      </c>
      <c r="J57" s="35">
        <v>0</v>
      </c>
      <c r="K57" s="35">
        <v>0</v>
      </c>
      <c r="L57" s="35">
        <v>0</v>
      </c>
      <c r="M57" s="35">
        <v>0</v>
      </c>
      <c r="N57" s="35">
        <v>0</v>
      </c>
      <c r="O57" s="35">
        <v>0</v>
      </c>
      <c r="P57" s="35">
        <v>0</v>
      </c>
      <c r="Q57" s="33" t="str">
        <f>IF('5. Hasil Prod Ikan'!Q57&gt;0,"Ada","Tidak")</f>
        <v>Tidak</v>
      </c>
      <c r="R57" s="34">
        <f t="shared" si="2"/>
        <v>0</v>
      </c>
    </row>
    <row r="58" spans="1:18" x14ac:dyDescent="0.2">
      <c r="A58" s="14" t="s">
        <v>31</v>
      </c>
      <c r="B58" s="14" t="s">
        <v>100</v>
      </c>
      <c r="C58" s="35">
        <v>0</v>
      </c>
      <c r="D58" s="35">
        <v>0</v>
      </c>
      <c r="E58" s="35">
        <v>0</v>
      </c>
      <c r="F58" s="35">
        <v>0</v>
      </c>
      <c r="G58" s="35">
        <v>0</v>
      </c>
      <c r="H58" s="35">
        <v>0</v>
      </c>
      <c r="I58" s="35">
        <v>0</v>
      </c>
      <c r="J58" s="35">
        <v>0</v>
      </c>
      <c r="K58" s="35">
        <v>0</v>
      </c>
      <c r="L58" s="35">
        <v>0</v>
      </c>
      <c r="M58" s="35">
        <v>0</v>
      </c>
      <c r="N58" s="35">
        <v>0</v>
      </c>
      <c r="O58" s="35">
        <v>0</v>
      </c>
      <c r="P58" s="35">
        <v>0</v>
      </c>
      <c r="Q58" s="33" t="str">
        <f>IF('5. Hasil Prod Ikan'!Q58&gt;0,"Ada","Tidak")</f>
        <v>Tidak</v>
      </c>
      <c r="R58" s="34">
        <f t="shared" si="2"/>
        <v>0</v>
      </c>
    </row>
    <row r="59" spans="1:18" x14ac:dyDescent="0.2">
      <c r="A59" s="14" t="s">
        <v>31</v>
      </c>
      <c r="B59" s="14" t="s">
        <v>101</v>
      </c>
      <c r="C59" s="35">
        <v>0</v>
      </c>
      <c r="D59" s="35">
        <v>0</v>
      </c>
      <c r="E59" s="35">
        <v>0</v>
      </c>
      <c r="F59" s="35">
        <v>0</v>
      </c>
      <c r="G59" s="35">
        <v>0</v>
      </c>
      <c r="H59" s="35">
        <v>0</v>
      </c>
      <c r="I59" s="35">
        <v>0</v>
      </c>
      <c r="J59" s="35">
        <v>0</v>
      </c>
      <c r="K59" s="35">
        <v>0</v>
      </c>
      <c r="L59" s="35">
        <v>0</v>
      </c>
      <c r="M59" s="35">
        <v>0</v>
      </c>
      <c r="N59" s="35">
        <v>0</v>
      </c>
      <c r="O59" s="35">
        <v>0</v>
      </c>
      <c r="P59" s="35">
        <v>0</v>
      </c>
      <c r="Q59" s="33" t="str">
        <f>IF('5. Hasil Prod Ikan'!Q59&gt;0,"Ada","Tidak")</f>
        <v>Tidak</v>
      </c>
      <c r="R59" s="34">
        <f t="shared" si="2"/>
        <v>0</v>
      </c>
    </row>
    <row r="60" spans="1:18" x14ac:dyDescent="0.2">
      <c r="A60" s="14" t="s">
        <v>31</v>
      </c>
      <c r="B60" s="14" t="s">
        <v>102</v>
      </c>
      <c r="C60" s="35">
        <v>0</v>
      </c>
      <c r="D60" s="35">
        <v>0</v>
      </c>
      <c r="E60" s="35">
        <v>0</v>
      </c>
      <c r="F60" s="35">
        <v>0</v>
      </c>
      <c r="G60" s="35">
        <v>0</v>
      </c>
      <c r="H60" s="35">
        <v>0</v>
      </c>
      <c r="I60" s="35">
        <v>0</v>
      </c>
      <c r="J60" s="35">
        <v>0</v>
      </c>
      <c r="K60" s="35">
        <v>0</v>
      </c>
      <c r="L60" s="35">
        <v>0</v>
      </c>
      <c r="M60" s="35">
        <v>0</v>
      </c>
      <c r="N60" s="35">
        <v>0</v>
      </c>
      <c r="O60" s="35">
        <v>0</v>
      </c>
      <c r="P60" s="35">
        <v>0</v>
      </c>
      <c r="Q60" s="33" t="str">
        <f>IF('5. Hasil Prod Ikan'!Q60&gt;0,"Ada","Tidak")</f>
        <v>Tidak</v>
      </c>
      <c r="R60" s="34">
        <f t="shared" si="2"/>
        <v>0</v>
      </c>
    </row>
    <row r="61" spans="1:18" x14ac:dyDescent="0.2">
      <c r="A61" s="14" t="s">
        <v>31</v>
      </c>
      <c r="B61" s="14" t="s">
        <v>103</v>
      </c>
      <c r="C61" s="35">
        <v>0</v>
      </c>
      <c r="D61" s="35">
        <v>0</v>
      </c>
      <c r="E61" s="35">
        <v>0</v>
      </c>
      <c r="F61" s="35">
        <v>0</v>
      </c>
      <c r="G61" s="35">
        <v>0</v>
      </c>
      <c r="H61" s="35">
        <v>0</v>
      </c>
      <c r="I61" s="35">
        <v>0</v>
      </c>
      <c r="J61" s="35">
        <v>0</v>
      </c>
      <c r="K61" s="35">
        <v>0</v>
      </c>
      <c r="L61" s="35">
        <v>0</v>
      </c>
      <c r="M61" s="35">
        <v>0</v>
      </c>
      <c r="N61" s="35">
        <v>0</v>
      </c>
      <c r="O61" s="35">
        <v>0</v>
      </c>
      <c r="P61" s="35">
        <v>0</v>
      </c>
      <c r="Q61" s="33" t="str">
        <f>IF('5. Hasil Prod Ikan'!Q61&gt;0,"Ada","Tidak")</f>
        <v>Tidak</v>
      </c>
      <c r="R61" s="34">
        <f t="shared" si="2"/>
        <v>0</v>
      </c>
    </row>
    <row r="62" spans="1:18" x14ac:dyDescent="0.2">
      <c r="A62" s="14" t="s">
        <v>31</v>
      </c>
      <c r="B62" s="14" t="s">
        <v>104</v>
      </c>
      <c r="C62" s="35">
        <v>0</v>
      </c>
      <c r="D62" s="35">
        <v>0</v>
      </c>
      <c r="E62" s="35">
        <v>0</v>
      </c>
      <c r="F62" s="35">
        <v>0</v>
      </c>
      <c r="G62" s="35">
        <v>0</v>
      </c>
      <c r="H62" s="35">
        <v>0</v>
      </c>
      <c r="I62" s="35">
        <v>0</v>
      </c>
      <c r="J62" s="35">
        <v>0</v>
      </c>
      <c r="K62" s="35">
        <v>0</v>
      </c>
      <c r="L62" s="35">
        <v>0</v>
      </c>
      <c r="M62" s="35">
        <v>0</v>
      </c>
      <c r="N62" s="35">
        <v>0</v>
      </c>
      <c r="O62" s="35">
        <v>0</v>
      </c>
      <c r="P62" s="35">
        <v>0</v>
      </c>
      <c r="Q62" s="33" t="str">
        <f>IF('5. Hasil Prod Ikan'!Q62&gt;0,"Ada","Tidak")</f>
        <v>Tidak</v>
      </c>
      <c r="R62" s="34">
        <f t="shared" si="2"/>
        <v>0</v>
      </c>
    </row>
    <row r="63" spans="1:18" x14ac:dyDescent="0.2">
      <c r="A63" s="14" t="s">
        <v>31</v>
      </c>
      <c r="B63" s="14" t="s">
        <v>105</v>
      </c>
      <c r="C63" s="35">
        <v>0</v>
      </c>
      <c r="D63" s="35">
        <v>0</v>
      </c>
      <c r="E63" s="35">
        <v>0</v>
      </c>
      <c r="F63" s="35">
        <v>0</v>
      </c>
      <c r="G63" s="35">
        <v>0</v>
      </c>
      <c r="H63" s="35">
        <v>0</v>
      </c>
      <c r="I63" s="35">
        <v>0</v>
      </c>
      <c r="J63" s="35">
        <v>0</v>
      </c>
      <c r="K63" s="35">
        <v>0</v>
      </c>
      <c r="L63" s="35">
        <v>0</v>
      </c>
      <c r="M63" s="35">
        <v>0</v>
      </c>
      <c r="N63" s="35">
        <v>0</v>
      </c>
      <c r="O63" s="35">
        <v>0</v>
      </c>
      <c r="P63" s="35">
        <v>0</v>
      </c>
      <c r="Q63" s="33" t="str">
        <f>IF('5. Hasil Prod Ikan'!Q63&gt;0,"Ada","Tidak")</f>
        <v>Tidak</v>
      </c>
      <c r="R63" s="34">
        <f t="shared" si="2"/>
        <v>0</v>
      </c>
    </row>
    <row r="64" spans="1:18" x14ac:dyDescent="0.2">
      <c r="A64" s="14" t="s">
        <v>31</v>
      </c>
      <c r="B64" s="14" t="s">
        <v>106</v>
      </c>
      <c r="C64" s="35">
        <v>0</v>
      </c>
      <c r="D64" s="35">
        <v>0</v>
      </c>
      <c r="E64" s="35">
        <v>0</v>
      </c>
      <c r="F64" s="35">
        <v>0</v>
      </c>
      <c r="G64" s="35">
        <v>0</v>
      </c>
      <c r="H64" s="35">
        <v>0</v>
      </c>
      <c r="I64" s="35">
        <v>0</v>
      </c>
      <c r="J64" s="35">
        <v>0</v>
      </c>
      <c r="K64" s="35">
        <v>0</v>
      </c>
      <c r="L64" s="35">
        <v>0</v>
      </c>
      <c r="M64" s="35">
        <v>0</v>
      </c>
      <c r="N64" s="35">
        <v>0</v>
      </c>
      <c r="O64" s="35">
        <v>0</v>
      </c>
      <c r="P64" s="35">
        <v>0</v>
      </c>
      <c r="Q64" s="33" t="str">
        <f>IF('5. Hasil Prod Ikan'!Q64&gt;0,"Ada","Tidak")</f>
        <v>Tidak</v>
      </c>
      <c r="R64" s="34">
        <f t="shared" si="2"/>
        <v>0</v>
      </c>
    </row>
    <row r="65" spans="1:18" x14ac:dyDescent="0.2">
      <c r="A65" s="14" t="s">
        <v>31</v>
      </c>
      <c r="B65" s="14" t="s">
        <v>107</v>
      </c>
      <c r="C65" s="35">
        <v>0</v>
      </c>
      <c r="D65" s="35">
        <v>0</v>
      </c>
      <c r="E65" s="35">
        <v>0</v>
      </c>
      <c r="F65" s="35">
        <v>0</v>
      </c>
      <c r="G65" s="35">
        <v>0</v>
      </c>
      <c r="H65" s="35">
        <v>0</v>
      </c>
      <c r="I65" s="35">
        <v>0</v>
      </c>
      <c r="J65" s="35">
        <v>0</v>
      </c>
      <c r="K65" s="35">
        <v>0</v>
      </c>
      <c r="L65" s="35">
        <v>0</v>
      </c>
      <c r="M65" s="35">
        <v>0</v>
      </c>
      <c r="N65" s="35">
        <v>0</v>
      </c>
      <c r="O65" s="35">
        <v>0</v>
      </c>
      <c r="P65" s="35">
        <v>0</v>
      </c>
      <c r="Q65" s="33" t="str">
        <f>IF('5. Hasil Prod Ikan'!Q65&gt;0,"Ada","Tidak")</f>
        <v>Tidak</v>
      </c>
      <c r="R65" s="34">
        <f t="shared" si="2"/>
        <v>0</v>
      </c>
    </row>
    <row r="66" spans="1:18" x14ac:dyDescent="0.2">
      <c r="A66" s="14" t="s">
        <v>31</v>
      </c>
      <c r="B66" s="14" t="s">
        <v>108</v>
      </c>
      <c r="C66" s="35">
        <v>0</v>
      </c>
      <c r="D66" s="35">
        <v>0</v>
      </c>
      <c r="E66" s="35">
        <v>0</v>
      </c>
      <c r="F66" s="35">
        <v>0</v>
      </c>
      <c r="G66" s="35">
        <v>0</v>
      </c>
      <c r="H66" s="35">
        <v>0</v>
      </c>
      <c r="I66" s="35">
        <v>0</v>
      </c>
      <c r="J66" s="35">
        <v>0</v>
      </c>
      <c r="K66" s="35">
        <v>0</v>
      </c>
      <c r="L66" s="35">
        <v>0</v>
      </c>
      <c r="M66" s="35">
        <v>0</v>
      </c>
      <c r="N66" s="35">
        <v>0</v>
      </c>
      <c r="O66" s="35">
        <v>0</v>
      </c>
      <c r="P66" s="35">
        <v>0</v>
      </c>
      <c r="Q66" s="33" t="str">
        <f>IF('5. Hasil Prod Ikan'!Q66&gt;0,"Ada","Tidak")</f>
        <v>Tidak</v>
      </c>
      <c r="R66" s="34">
        <f t="shared" si="2"/>
        <v>0</v>
      </c>
    </row>
    <row r="67" spans="1:18" x14ac:dyDescent="0.2">
      <c r="A67" s="14" t="s">
        <v>31</v>
      </c>
      <c r="B67" s="14" t="s">
        <v>109</v>
      </c>
      <c r="C67" s="35">
        <v>0</v>
      </c>
      <c r="D67" s="35">
        <v>0</v>
      </c>
      <c r="E67" s="35">
        <v>0</v>
      </c>
      <c r="F67" s="35">
        <v>0</v>
      </c>
      <c r="G67" s="35">
        <v>0</v>
      </c>
      <c r="H67" s="35">
        <v>0</v>
      </c>
      <c r="I67" s="35">
        <v>0</v>
      </c>
      <c r="J67" s="35">
        <v>0</v>
      </c>
      <c r="K67" s="35">
        <v>0</v>
      </c>
      <c r="L67" s="35">
        <v>0</v>
      </c>
      <c r="M67" s="35">
        <v>0</v>
      </c>
      <c r="N67" s="35">
        <v>0</v>
      </c>
      <c r="O67" s="35">
        <v>0</v>
      </c>
      <c r="P67" s="35">
        <v>0</v>
      </c>
      <c r="Q67" s="33" t="str">
        <f>IF('5. Hasil Prod Ikan'!Q67&gt;0,"Ada","Tidak")</f>
        <v>Tidak</v>
      </c>
      <c r="R67" s="34">
        <f t="shared" si="2"/>
        <v>0</v>
      </c>
    </row>
    <row r="68" spans="1:18" x14ac:dyDescent="0.2">
      <c r="A68" s="14" t="s">
        <v>31</v>
      </c>
      <c r="B68" s="14" t="s">
        <v>110</v>
      </c>
      <c r="C68" s="35">
        <v>0</v>
      </c>
      <c r="D68" s="35">
        <v>0</v>
      </c>
      <c r="E68" s="35">
        <v>0</v>
      </c>
      <c r="F68" s="35">
        <v>0</v>
      </c>
      <c r="G68" s="35">
        <v>0</v>
      </c>
      <c r="H68" s="35">
        <v>0</v>
      </c>
      <c r="I68" s="35">
        <v>0</v>
      </c>
      <c r="J68" s="35">
        <v>0</v>
      </c>
      <c r="K68" s="35">
        <v>0</v>
      </c>
      <c r="L68" s="35">
        <v>0</v>
      </c>
      <c r="M68" s="35">
        <v>0</v>
      </c>
      <c r="N68" s="35">
        <v>0</v>
      </c>
      <c r="O68" s="35">
        <v>0</v>
      </c>
      <c r="P68" s="35">
        <v>0</v>
      </c>
      <c r="Q68" s="33" t="str">
        <f>IF('5. Hasil Prod Ikan'!Q68&gt;0,"Ada","Tidak")</f>
        <v>Tidak</v>
      </c>
      <c r="R68" s="34">
        <f t="shared" si="2"/>
        <v>0</v>
      </c>
    </row>
    <row r="69" spans="1:18" x14ac:dyDescent="0.2">
      <c r="A69" s="14" t="s">
        <v>31</v>
      </c>
      <c r="B69" s="14" t="s">
        <v>111</v>
      </c>
      <c r="C69" s="35">
        <v>0</v>
      </c>
      <c r="D69" s="35">
        <v>0</v>
      </c>
      <c r="E69" s="35">
        <v>0</v>
      </c>
      <c r="F69" s="35">
        <v>0</v>
      </c>
      <c r="G69" s="35">
        <v>0</v>
      </c>
      <c r="H69" s="35">
        <v>0</v>
      </c>
      <c r="I69" s="35">
        <v>0</v>
      </c>
      <c r="J69" s="35">
        <v>0</v>
      </c>
      <c r="K69" s="35">
        <v>0</v>
      </c>
      <c r="L69" s="35">
        <v>0</v>
      </c>
      <c r="M69" s="35">
        <v>0</v>
      </c>
      <c r="N69" s="35">
        <v>0</v>
      </c>
      <c r="O69" s="35">
        <v>0</v>
      </c>
      <c r="P69" s="35">
        <v>0</v>
      </c>
      <c r="Q69" s="33" t="str">
        <f>IF('5. Hasil Prod Ikan'!Q69&gt;0,"Ada","Tidak")</f>
        <v>Tidak</v>
      </c>
      <c r="R69" s="34">
        <f t="shared" si="2"/>
        <v>0</v>
      </c>
    </row>
    <row r="70" spans="1:18" x14ac:dyDescent="0.2">
      <c r="A70" s="14" t="s">
        <v>31</v>
      </c>
      <c r="B70" s="14" t="s">
        <v>112</v>
      </c>
      <c r="C70" s="35">
        <v>0</v>
      </c>
      <c r="D70" s="35">
        <v>0</v>
      </c>
      <c r="E70" s="35">
        <v>0</v>
      </c>
      <c r="F70" s="35">
        <v>0</v>
      </c>
      <c r="G70" s="35">
        <v>0</v>
      </c>
      <c r="H70" s="35">
        <v>0</v>
      </c>
      <c r="I70" s="35">
        <v>0</v>
      </c>
      <c r="J70" s="35">
        <v>0</v>
      </c>
      <c r="K70" s="35">
        <v>0</v>
      </c>
      <c r="L70" s="35">
        <v>0</v>
      </c>
      <c r="M70" s="35">
        <v>0</v>
      </c>
      <c r="N70" s="35">
        <v>0</v>
      </c>
      <c r="O70" s="35">
        <v>0</v>
      </c>
      <c r="P70" s="35">
        <v>0</v>
      </c>
      <c r="Q70" s="33" t="str">
        <f>IF('5. Hasil Prod Ikan'!Q70&gt;0,"Ada","Tidak")</f>
        <v>Tidak</v>
      </c>
      <c r="R70" s="34">
        <f t="shared" si="2"/>
        <v>0</v>
      </c>
    </row>
    <row r="71" spans="1:18" x14ac:dyDescent="0.2">
      <c r="A71" s="14" t="s">
        <v>31</v>
      </c>
      <c r="B71" s="14" t="s">
        <v>113</v>
      </c>
      <c r="C71" s="35">
        <v>0</v>
      </c>
      <c r="D71" s="35">
        <v>0</v>
      </c>
      <c r="E71" s="35">
        <v>0</v>
      </c>
      <c r="F71" s="35">
        <v>0</v>
      </c>
      <c r="G71" s="35">
        <v>0</v>
      </c>
      <c r="H71" s="35">
        <v>0</v>
      </c>
      <c r="I71" s="35">
        <v>0</v>
      </c>
      <c r="J71" s="35">
        <v>0</v>
      </c>
      <c r="K71" s="35">
        <v>0</v>
      </c>
      <c r="L71" s="35">
        <v>0</v>
      </c>
      <c r="M71" s="35">
        <v>0</v>
      </c>
      <c r="N71" s="35">
        <v>0</v>
      </c>
      <c r="O71" s="35">
        <v>0</v>
      </c>
      <c r="P71" s="35">
        <v>0</v>
      </c>
      <c r="Q71" s="33" t="str">
        <f>IF('5. Hasil Prod Ikan'!Q71&gt;0,"Ada","Tidak")</f>
        <v>Tidak</v>
      </c>
      <c r="R71" s="34">
        <f t="shared" si="2"/>
        <v>0</v>
      </c>
    </row>
    <row r="72" spans="1:18" x14ac:dyDescent="0.2">
      <c r="A72" s="14" t="s">
        <v>31</v>
      </c>
      <c r="B72" s="14" t="s">
        <v>114</v>
      </c>
      <c r="C72" s="35">
        <v>0</v>
      </c>
      <c r="D72" s="35">
        <v>0</v>
      </c>
      <c r="E72" s="35">
        <v>0</v>
      </c>
      <c r="F72" s="35">
        <v>0</v>
      </c>
      <c r="G72" s="35">
        <v>0</v>
      </c>
      <c r="H72" s="35">
        <v>0</v>
      </c>
      <c r="I72" s="35">
        <v>0</v>
      </c>
      <c r="J72" s="35">
        <v>0</v>
      </c>
      <c r="K72" s="35">
        <v>0</v>
      </c>
      <c r="L72" s="35">
        <v>0</v>
      </c>
      <c r="M72" s="35">
        <v>0</v>
      </c>
      <c r="N72" s="35">
        <v>0</v>
      </c>
      <c r="O72" s="35">
        <v>0</v>
      </c>
      <c r="P72" s="35">
        <v>0</v>
      </c>
      <c r="Q72" s="33" t="str">
        <f>IF('5. Hasil Prod Ikan'!Q72&gt;0,"Ada","Tidak")</f>
        <v>Tidak</v>
      </c>
      <c r="R72" s="34">
        <f t="shared" si="2"/>
        <v>0</v>
      </c>
    </row>
    <row r="73" spans="1:18" x14ac:dyDescent="0.2">
      <c r="A73" s="14" t="s">
        <v>31</v>
      </c>
      <c r="B73" s="14" t="s">
        <v>115</v>
      </c>
      <c r="C73" s="35">
        <v>0</v>
      </c>
      <c r="D73" s="35">
        <v>0</v>
      </c>
      <c r="E73" s="35">
        <v>0</v>
      </c>
      <c r="F73" s="35">
        <v>0</v>
      </c>
      <c r="G73" s="35">
        <v>0</v>
      </c>
      <c r="H73" s="35">
        <v>0</v>
      </c>
      <c r="I73" s="35">
        <v>0</v>
      </c>
      <c r="J73" s="35">
        <v>0</v>
      </c>
      <c r="K73" s="35">
        <v>0</v>
      </c>
      <c r="L73" s="35">
        <v>0</v>
      </c>
      <c r="M73" s="35">
        <v>0</v>
      </c>
      <c r="N73" s="35">
        <v>0</v>
      </c>
      <c r="O73" s="35">
        <v>0</v>
      </c>
      <c r="P73" s="35">
        <v>0</v>
      </c>
      <c r="Q73" s="33" t="str">
        <f>IF('5. Hasil Prod Ikan'!Q73&gt;0,"Ada","Tidak")</f>
        <v>Tidak</v>
      </c>
      <c r="R73" s="34">
        <f t="shared" ref="R73:R87" si="3">IFERROR(AVERAGEIF(C73:P73,"&gt;0"),0)</f>
        <v>0</v>
      </c>
    </row>
    <row r="74" spans="1:18" x14ac:dyDescent="0.2">
      <c r="A74" s="14" t="s">
        <v>31</v>
      </c>
      <c r="B74" s="14" t="s">
        <v>116</v>
      </c>
      <c r="C74" s="35">
        <v>0</v>
      </c>
      <c r="D74" s="35">
        <v>0</v>
      </c>
      <c r="E74" s="35">
        <v>0</v>
      </c>
      <c r="F74" s="35">
        <v>0</v>
      </c>
      <c r="G74" s="35">
        <v>0</v>
      </c>
      <c r="H74" s="35">
        <v>0</v>
      </c>
      <c r="I74" s="35">
        <v>0</v>
      </c>
      <c r="J74" s="35">
        <v>0</v>
      </c>
      <c r="K74" s="35">
        <v>0</v>
      </c>
      <c r="L74" s="35">
        <v>0</v>
      </c>
      <c r="M74" s="35">
        <v>0</v>
      </c>
      <c r="N74" s="35">
        <v>0</v>
      </c>
      <c r="O74" s="35">
        <v>0</v>
      </c>
      <c r="P74" s="35">
        <v>0</v>
      </c>
      <c r="Q74" s="33" t="str">
        <f>IF('5. Hasil Prod Ikan'!Q74&gt;0,"Ada","Tidak")</f>
        <v>Tidak</v>
      </c>
      <c r="R74" s="34">
        <f t="shared" si="3"/>
        <v>0</v>
      </c>
    </row>
    <row r="75" spans="1:18" x14ac:dyDescent="0.2">
      <c r="A75" s="14" t="s">
        <v>31</v>
      </c>
      <c r="B75" s="14" t="s">
        <v>117</v>
      </c>
      <c r="C75" s="35">
        <v>0</v>
      </c>
      <c r="D75" s="35">
        <v>0</v>
      </c>
      <c r="E75" s="35">
        <v>0</v>
      </c>
      <c r="F75" s="35">
        <v>0</v>
      </c>
      <c r="G75" s="35">
        <v>0</v>
      </c>
      <c r="H75" s="35">
        <v>0</v>
      </c>
      <c r="I75" s="35">
        <v>0</v>
      </c>
      <c r="J75" s="35">
        <v>0</v>
      </c>
      <c r="K75" s="35">
        <v>0</v>
      </c>
      <c r="L75" s="35">
        <v>0</v>
      </c>
      <c r="M75" s="35">
        <v>0</v>
      </c>
      <c r="N75" s="35">
        <v>0</v>
      </c>
      <c r="O75" s="35">
        <v>0</v>
      </c>
      <c r="P75" s="35">
        <v>0</v>
      </c>
      <c r="Q75" s="33" t="str">
        <f>IF('5. Hasil Prod Ikan'!Q75&gt;0,"Ada","Tidak")</f>
        <v>Tidak</v>
      </c>
      <c r="R75" s="34">
        <f t="shared" si="3"/>
        <v>0</v>
      </c>
    </row>
    <row r="76" spans="1:18" x14ac:dyDescent="0.2">
      <c r="A76" s="14" t="s">
        <v>31</v>
      </c>
      <c r="B76" s="14" t="s">
        <v>118</v>
      </c>
      <c r="C76" s="35">
        <v>0</v>
      </c>
      <c r="D76" s="35">
        <v>0</v>
      </c>
      <c r="E76" s="35">
        <v>0</v>
      </c>
      <c r="F76" s="35">
        <v>0</v>
      </c>
      <c r="G76" s="35">
        <v>0</v>
      </c>
      <c r="H76" s="35">
        <v>0</v>
      </c>
      <c r="I76" s="35">
        <v>0</v>
      </c>
      <c r="J76" s="35">
        <v>0</v>
      </c>
      <c r="K76" s="35">
        <v>0</v>
      </c>
      <c r="L76" s="35">
        <v>0</v>
      </c>
      <c r="M76" s="35">
        <v>0</v>
      </c>
      <c r="N76" s="35">
        <v>0</v>
      </c>
      <c r="O76" s="35">
        <v>0</v>
      </c>
      <c r="P76" s="35">
        <v>0</v>
      </c>
      <c r="Q76" s="33" t="str">
        <f>IF('5. Hasil Prod Ikan'!Q76&gt;0,"Ada","Tidak")</f>
        <v>Tidak</v>
      </c>
      <c r="R76" s="34">
        <f t="shared" si="3"/>
        <v>0</v>
      </c>
    </row>
    <row r="77" spans="1:18" x14ac:dyDescent="0.2">
      <c r="A77" s="14" t="s">
        <v>31</v>
      </c>
      <c r="B77" s="14" t="s">
        <v>119</v>
      </c>
      <c r="C77" s="35">
        <v>0</v>
      </c>
      <c r="D77" s="35">
        <v>0</v>
      </c>
      <c r="E77" s="35">
        <v>0</v>
      </c>
      <c r="F77" s="35">
        <v>0</v>
      </c>
      <c r="G77" s="35">
        <v>0</v>
      </c>
      <c r="H77" s="35">
        <v>0</v>
      </c>
      <c r="I77" s="35">
        <v>0</v>
      </c>
      <c r="J77" s="35">
        <v>0</v>
      </c>
      <c r="K77" s="35">
        <v>0</v>
      </c>
      <c r="L77" s="35">
        <v>0</v>
      </c>
      <c r="M77" s="35">
        <v>0</v>
      </c>
      <c r="N77" s="35">
        <v>0</v>
      </c>
      <c r="O77" s="35">
        <v>0</v>
      </c>
      <c r="P77" s="35">
        <v>0</v>
      </c>
      <c r="Q77" s="33" t="str">
        <f>IF('5. Hasil Prod Ikan'!Q77&gt;0,"Ada","Tidak")</f>
        <v>Tidak</v>
      </c>
      <c r="R77" s="34">
        <f t="shared" si="3"/>
        <v>0</v>
      </c>
    </row>
    <row r="78" spans="1:18" x14ac:dyDescent="0.2">
      <c r="A78" s="14" t="s">
        <v>31</v>
      </c>
      <c r="B78" s="14" t="s">
        <v>120</v>
      </c>
      <c r="C78" s="35">
        <v>0</v>
      </c>
      <c r="D78" s="35">
        <v>0</v>
      </c>
      <c r="E78" s="35">
        <v>0</v>
      </c>
      <c r="F78" s="35">
        <v>0</v>
      </c>
      <c r="G78" s="35">
        <v>0</v>
      </c>
      <c r="H78" s="35">
        <v>0</v>
      </c>
      <c r="I78" s="35">
        <v>0</v>
      </c>
      <c r="J78" s="35">
        <v>0</v>
      </c>
      <c r="K78" s="35">
        <v>0</v>
      </c>
      <c r="L78" s="35">
        <v>0</v>
      </c>
      <c r="M78" s="35">
        <v>0</v>
      </c>
      <c r="N78" s="35">
        <v>0</v>
      </c>
      <c r="O78" s="35">
        <v>0</v>
      </c>
      <c r="P78" s="35">
        <v>0</v>
      </c>
      <c r="Q78" s="33" t="str">
        <f>IF('5. Hasil Prod Ikan'!Q78&gt;0,"Ada","Tidak")</f>
        <v>Tidak</v>
      </c>
      <c r="R78" s="34">
        <f t="shared" si="3"/>
        <v>0</v>
      </c>
    </row>
    <row r="79" spans="1:18" x14ac:dyDescent="0.2">
      <c r="A79" s="14" t="s">
        <v>31</v>
      </c>
      <c r="B79" s="14" t="s">
        <v>121</v>
      </c>
      <c r="C79" s="35">
        <v>0</v>
      </c>
      <c r="D79" s="35">
        <v>0</v>
      </c>
      <c r="E79" s="35">
        <v>0</v>
      </c>
      <c r="F79" s="35">
        <v>0</v>
      </c>
      <c r="G79" s="35">
        <v>0</v>
      </c>
      <c r="H79" s="35">
        <v>0</v>
      </c>
      <c r="I79" s="35">
        <v>0</v>
      </c>
      <c r="J79" s="35">
        <v>0</v>
      </c>
      <c r="K79" s="35">
        <v>0</v>
      </c>
      <c r="L79" s="35">
        <v>0</v>
      </c>
      <c r="M79" s="35">
        <v>0</v>
      </c>
      <c r="N79" s="35">
        <v>0</v>
      </c>
      <c r="O79" s="35">
        <v>0</v>
      </c>
      <c r="P79" s="35">
        <v>0</v>
      </c>
      <c r="Q79" s="33" t="str">
        <f>IF('5. Hasil Prod Ikan'!Q79&gt;0,"Ada","Tidak")</f>
        <v>Tidak</v>
      </c>
      <c r="R79" s="34">
        <f t="shared" si="3"/>
        <v>0</v>
      </c>
    </row>
    <row r="80" spans="1:18" x14ac:dyDescent="0.2">
      <c r="A80" s="14" t="s">
        <v>31</v>
      </c>
      <c r="B80" s="14" t="s">
        <v>122</v>
      </c>
      <c r="C80" s="35">
        <v>0</v>
      </c>
      <c r="D80" s="35">
        <v>0</v>
      </c>
      <c r="E80" s="35">
        <v>0</v>
      </c>
      <c r="F80" s="35">
        <v>0</v>
      </c>
      <c r="G80" s="35">
        <v>0</v>
      </c>
      <c r="H80" s="35">
        <v>0</v>
      </c>
      <c r="I80" s="35">
        <v>0</v>
      </c>
      <c r="J80" s="35">
        <v>0</v>
      </c>
      <c r="K80" s="35">
        <v>0</v>
      </c>
      <c r="L80" s="35">
        <v>0</v>
      </c>
      <c r="M80" s="35">
        <v>0</v>
      </c>
      <c r="N80" s="35">
        <v>0</v>
      </c>
      <c r="O80" s="35">
        <v>0</v>
      </c>
      <c r="P80" s="35">
        <v>0</v>
      </c>
      <c r="Q80" s="33" t="str">
        <f>IF('5. Hasil Prod Ikan'!Q80&gt;0,"Ada","Tidak")</f>
        <v>Tidak</v>
      </c>
      <c r="R80" s="34">
        <f t="shared" si="3"/>
        <v>0</v>
      </c>
    </row>
    <row r="81" spans="1:18" x14ac:dyDescent="0.2">
      <c r="A81" s="14" t="s">
        <v>31</v>
      </c>
      <c r="B81" s="14" t="s">
        <v>123</v>
      </c>
      <c r="C81" s="35">
        <v>0</v>
      </c>
      <c r="D81" s="35">
        <v>0</v>
      </c>
      <c r="E81" s="35">
        <v>0</v>
      </c>
      <c r="F81" s="35">
        <v>0</v>
      </c>
      <c r="G81" s="35">
        <v>0</v>
      </c>
      <c r="H81" s="35">
        <v>0</v>
      </c>
      <c r="I81" s="35">
        <v>0</v>
      </c>
      <c r="J81" s="35">
        <v>0</v>
      </c>
      <c r="K81" s="35">
        <v>0</v>
      </c>
      <c r="L81" s="35">
        <v>0</v>
      </c>
      <c r="M81" s="35">
        <v>0</v>
      </c>
      <c r="N81" s="35">
        <v>0</v>
      </c>
      <c r="O81" s="35">
        <v>0</v>
      </c>
      <c r="P81" s="35">
        <v>0</v>
      </c>
      <c r="Q81" s="33" t="str">
        <f>IF('5. Hasil Prod Ikan'!Q81&gt;0,"Ada","Tidak")</f>
        <v>Tidak</v>
      </c>
      <c r="R81" s="34">
        <f t="shared" si="3"/>
        <v>0</v>
      </c>
    </row>
    <row r="82" spans="1:18" x14ac:dyDescent="0.2">
      <c r="A82" s="14" t="s">
        <v>31</v>
      </c>
      <c r="B82" s="14" t="s">
        <v>124</v>
      </c>
      <c r="C82" s="35">
        <v>0</v>
      </c>
      <c r="D82" s="35">
        <v>0</v>
      </c>
      <c r="E82" s="35">
        <v>0</v>
      </c>
      <c r="F82" s="35">
        <v>0</v>
      </c>
      <c r="G82" s="35">
        <v>0</v>
      </c>
      <c r="H82" s="35">
        <v>0</v>
      </c>
      <c r="I82" s="35">
        <v>0</v>
      </c>
      <c r="J82" s="35">
        <v>0</v>
      </c>
      <c r="K82" s="35">
        <v>0</v>
      </c>
      <c r="L82" s="35">
        <v>0</v>
      </c>
      <c r="M82" s="35">
        <v>0</v>
      </c>
      <c r="N82" s="35">
        <v>0</v>
      </c>
      <c r="O82" s="35">
        <v>0</v>
      </c>
      <c r="P82" s="35">
        <v>0</v>
      </c>
      <c r="Q82" s="33" t="str">
        <f>IF('5. Hasil Prod Ikan'!Q82&gt;0,"Ada","Tidak")</f>
        <v>Tidak</v>
      </c>
      <c r="R82" s="34">
        <f t="shared" si="3"/>
        <v>0</v>
      </c>
    </row>
    <row r="83" spans="1:18" x14ac:dyDescent="0.2">
      <c r="A83" s="14" t="s">
        <v>31</v>
      </c>
      <c r="B83" s="14" t="s">
        <v>125</v>
      </c>
      <c r="C83" s="35">
        <v>0</v>
      </c>
      <c r="D83" s="35">
        <v>0</v>
      </c>
      <c r="E83" s="35">
        <v>0</v>
      </c>
      <c r="F83" s="35">
        <v>0</v>
      </c>
      <c r="G83" s="35">
        <v>0</v>
      </c>
      <c r="H83" s="35">
        <v>0</v>
      </c>
      <c r="I83" s="35">
        <v>0</v>
      </c>
      <c r="J83" s="35">
        <v>0</v>
      </c>
      <c r="K83" s="35">
        <v>0</v>
      </c>
      <c r="L83" s="35">
        <v>0</v>
      </c>
      <c r="M83" s="35">
        <v>0</v>
      </c>
      <c r="N83" s="35">
        <v>0</v>
      </c>
      <c r="O83" s="35">
        <v>0</v>
      </c>
      <c r="P83" s="35">
        <v>0</v>
      </c>
      <c r="Q83" s="33" t="str">
        <f>IF('5. Hasil Prod Ikan'!Q83&gt;0,"Ada","Tidak")</f>
        <v>Tidak</v>
      </c>
      <c r="R83" s="34">
        <f t="shared" si="3"/>
        <v>0</v>
      </c>
    </row>
    <row r="84" spans="1:18" x14ac:dyDescent="0.2">
      <c r="A84" s="14" t="s">
        <v>31</v>
      </c>
      <c r="B84" s="14" t="s">
        <v>126</v>
      </c>
      <c r="C84" s="35">
        <v>0</v>
      </c>
      <c r="D84" s="35">
        <v>0</v>
      </c>
      <c r="E84" s="35">
        <v>0</v>
      </c>
      <c r="F84" s="35">
        <v>0</v>
      </c>
      <c r="G84" s="35">
        <v>0</v>
      </c>
      <c r="H84" s="35">
        <v>0</v>
      </c>
      <c r="I84" s="35">
        <v>0</v>
      </c>
      <c r="J84" s="35">
        <v>0</v>
      </c>
      <c r="K84" s="35">
        <v>0</v>
      </c>
      <c r="L84" s="35">
        <v>0</v>
      </c>
      <c r="M84" s="35">
        <v>0</v>
      </c>
      <c r="N84" s="35">
        <v>0</v>
      </c>
      <c r="O84" s="35">
        <v>0</v>
      </c>
      <c r="P84" s="35">
        <v>0</v>
      </c>
      <c r="Q84" s="33" t="str">
        <f>IF('5. Hasil Prod Ikan'!Q84&gt;0,"Ada","Tidak")</f>
        <v>Tidak</v>
      </c>
      <c r="R84" s="34">
        <f t="shared" si="3"/>
        <v>0</v>
      </c>
    </row>
    <row r="85" spans="1:18" x14ac:dyDescent="0.2">
      <c r="A85" s="14" t="s">
        <v>31</v>
      </c>
      <c r="B85" s="14" t="s">
        <v>40</v>
      </c>
      <c r="C85" s="35">
        <v>0</v>
      </c>
      <c r="D85" s="35">
        <v>0</v>
      </c>
      <c r="E85" s="35">
        <v>0</v>
      </c>
      <c r="F85" s="35">
        <v>0</v>
      </c>
      <c r="G85" s="35">
        <v>0</v>
      </c>
      <c r="H85" s="35">
        <v>0</v>
      </c>
      <c r="I85" s="35">
        <v>0</v>
      </c>
      <c r="J85" s="35">
        <v>0</v>
      </c>
      <c r="K85" s="35">
        <v>0</v>
      </c>
      <c r="L85" s="35">
        <v>0</v>
      </c>
      <c r="M85" s="35">
        <v>0</v>
      </c>
      <c r="N85" s="35">
        <v>0</v>
      </c>
      <c r="O85" s="35">
        <v>0</v>
      </c>
      <c r="P85" s="35">
        <v>0</v>
      </c>
      <c r="Q85" s="33" t="str">
        <f>IF('5. Hasil Prod Ikan'!Q85&gt;0,"Ada","Tidak")</f>
        <v>Tidak</v>
      </c>
      <c r="R85" s="34">
        <f t="shared" si="3"/>
        <v>0</v>
      </c>
    </row>
    <row r="86" spans="1:18" x14ac:dyDescent="0.2">
      <c r="A86" s="14" t="s">
        <v>31</v>
      </c>
      <c r="B86" s="14" t="s">
        <v>41</v>
      </c>
      <c r="C86" s="35">
        <v>0</v>
      </c>
      <c r="D86" s="35">
        <v>0</v>
      </c>
      <c r="E86" s="35">
        <v>0</v>
      </c>
      <c r="F86" s="35">
        <v>0</v>
      </c>
      <c r="G86" s="35">
        <v>0</v>
      </c>
      <c r="H86" s="35">
        <v>0</v>
      </c>
      <c r="I86" s="35">
        <v>0</v>
      </c>
      <c r="J86" s="35">
        <v>0</v>
      </c>
      <c r="K86" s="35">
        <v>0</v>
      </c>
      <c r="L86" s="35">
        <v>0</v>
      </c>
      <c r="M86" s="35">
        <v>0</v>
      </c>
      <c r="N86" s="35">
        <v>0</v>
      </c>
      <c r="O86" s="35">
        <v>0</v>
      </c>
      <c r="P86" s="35">
        <v>0</v>
      </c>
      <c r="Q86" s="33" t="str">
        <f>IF('5. Hasil Prod Ikan'!Q86&gt;0,"Ada","Tidak")</f>
        <v>Tidak</v>
      </c>
      <c r="R86" s="34">
        <f t="shared" si="3"/>
        <v>0</v>
      </c>
    </row>
    <row r="87" spans="1:18" x14ac:dyDescent="0.2">
      <c r="A87" s="14" t="s">
        <v>31</v>
      </c>
      <c r="B87" s="14" t="s">
        <v>42</v>
      </c>
      <c r="C87" s="35">
        <v>0</v>
      </c>
      <c r="D87" s="35">
        <v>0</v>
      </c>
      <c r="E87" s="35">
        <v>0</v>
      </c>
      <c r="F87" s="35">
        <v>0</v>
      </c>
      <c r="G87" s="35">
        <v>0</v>
      </c>
      <c r="H87" s="35">
        <v>0</v>
      </c>
      <c r="I87" s="35">
        <v>0</v>
      </c>
      <c r="J87" s="35">
        <v>0</v>
      </c>
      <c r="K87" s="35">
        <v>0</v>
      </c>
      <c r="L87" s="35">
        <v>0</v>
      </c>
      <c r="M87" s="35">
        <v>0</v>
      </c>
      <c r="N87" s="35">
        <v>0</v>
      </c>
      <c r="O87" s="35">
        <v>0</v>
      </c>
      <c r="P87" s="35">
        <v>0</v>
      </c>
      <c r="Q87" s="33" t="str">
        <f>IF('5. Hasil Prod Ikan'!Q87&gt;0,"Ada","Tidak")</f>
        <v>Tidak</v>
      </c>
      <c r="R87" s="34">
        <f t="shared" si="3"/>
        <v>0</v>
      </c>
    </row>
  </sheetData>
  <sheetProtection formatColumns="0"/>
  <autoFilter ref="A8:R8"/>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5" id="{2258536A-3448-4F17-AFC2-2FCFC4CF27B4}">
            <xm:f>AND('5. Hasil Prod Ikan'!C9=0,C9&gt;0)</xm:f>
            <x14:dxf>
              <fill>
                <patternFill>
                  <bgColor rgb="FFFF0000"/>
                </patternFill>
              </fill>
            </x14:dxf>
          </x14:cfRule>
          <x14:cfRule type="expression" priority="6" id="{96CFF08D-E3A9-4EDC-A240-BC6BD80C4989}">
            <xm:f>AND('5. Hasil Prod Ikan'!C9&gt;0,C9=0)</xm:f>
            <x14:dxf>
              <fill>
                <patternFill>
                  <bgColor rgb="FFFF0000"/>
                </patternFill>
              </fill>
            </x14:dxf>
          </x14:cfRule>
          <xm:sqref>C9:P87</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Q87"/>
  <sheetViews>
    <sheetView workbookViewId="0">
      <pane xSplit="2" ySplit="8" topLeftCell="C9" activePane="bottomRight" state="frozen"/>
      <selection pane="topRight" activeCell="B1" sqref="B1"/>
      <selection pane="bottomLeft" activeCell="A4" sqref="A4"/>
      <selection pane="bottomRight" activeCell="A9" sqref="A9"/>
    </sheetView>
  </sheetViews>
  <sheetFormatPr defaultColWidth="9" defaultRowHeight="12" x14ac:dyDescent="0.2"/>
  <cols>
    <col min="1" max="1" width="11.6640625" style="21" bestFit="1" customWidth="1"/>
    <col min="2" max="2" width="43.1640625" style="21" customWidth="1"/>
    <col min="3" max="3" width="21.33203125" style="21" bestFit="1" customWidth="1"/>
    <col min="4" max="4" width="23.1640625" style="21" bestFit="1" customWidth="1"/>
    <col min="5" max="5" width="16.33203125" style="21" bestFit="1" customWidth="1"/>
    <col min="6" max="7" width="23" style="21" bestFit="1" customWidth="1"/>
    <col min="8" max="8" width="17" style="21" bestFit="1" customWidth="1"/>
    <col min="9" max="9" width="17.33203125" style="21" bestFit="1" customWidth="1"/>
    <col min="10" max="10" width="19.33203125" style="21" bestFit="1" customWidth="1"/>
    <col min="11" max="11" width="16.33203125" style="21" bestFit="1" customWidth="1"/>
    <col min="12" max="12" width="21" style="21" bestFit="1" customWidth="1"/>
    <col min="13" max="13" width="20.33203125" style="21" bestFit="1" customWidth="1"/>
    <col min="14" max="14" width="18.1640625" style="21" bestFit="1" customWidth="1"/>
    <col min="15" max="15" width="19.33203125" style="21" bestFit="1" customWidth="1"/>
    <col min="16" max="16" width="18.33203125" style="21" bestFit="1" customWidth="1"/>
    <col min="17" max="17" width="16.33203125" style="21" bestFit="1" customWidth="1"/>
    <col min="18" max="16384" width="9" style="21"/>
  </cols>
  <sheetData>
    <row r="1" spans="1:17" hidden="1" x14ac:dyDescent="0.2"/>
    <row r="2" spans="1:17" hidden="1" x14ac:dyDescent="0.2"/>
    <row r="3" spans="1:17" hidden="1" x14ac:dyDescent="0.2"/>
    <row r="4" spans="1:17" hidden="1" x14ac:dyDescent="0.2"/>
    <row r="5" spans="1:17" hidden="1" x14ac:dyDescent="0.2">
      <c r="B5" s="36" t="s">
        <v>26</v>
      </c>
      <c r="C5" s="36" t="str">
        <f>'4. Isi Produksi Ikan'!E4</f>
        <v>KAB. BARITO SELATAN Total</v>
      </c>
      <c r="D5" s="36" t="str">
        <f>'4. Isi Produksi Ikan'!H4</f>
        <v>KAB. BARITO TIMUR Total</v>
      </c>
      <c r="E5" s="36" t="str">
        <f>'4. Isi Produksi Ikan'!K4</f>
        <v>KAB. BARITO UTARA Total</v>
      </c>
      <c r="F5" s="36" t="str">
        <f>'4. Isi Produksi Ikan'!N4</f>
        <v>KAB. GUNUNG MAS Total</v>
      </c>
      <c r="G5" s="36" t="str">
        <f>'4. Isi Produksi Ikan'!Q4</f>
        <v>KAB. KAPUAS Total</v>
      </c>
      <c r="H5" s="36" t="str">
        <f>'4. Isi Produksi Ikan'!T4</f>
        <v>KAB. KATINGAN Total</v>
      </c>
      <c r="I5" s="36" t="str">
        <f>'4. Isi Produksi Ikan'!W4</f>
        <v>KAB. KOTAWARINGIN BARAT Total</v>
      </c>
      <c r="J5" s="36" t="str">
        <f>'4. Isi Produksi Ikan'!Z4</f>
        <v>KAB. KOTAWARINGIN TIMUR Total</v>
      </c>
      <c r="K5" s="36" t="str">
        <f>'4. Isi Produksi Ikan'!AC4</f>
        <v>KAB. LAMANDAU Total</v>
      </c>
      <c r="L5" s="36" t="str">
        <f>'4. Isi Produksi Ikan'!AF4</f>
        <v>KAB. MURUNG RAYA Total</v>
      </c>
      <c r="M5" s="36" t="str">
        <f>'4. Isi Produksi Ikan'!AI4</f>
        <v>KAB. PULANG PISAU Total</v>
      </c>
      <c r="N5" s="36" t="str">
        <f>'4. Isi Produksi Ikan'!AL4</f>
        <v>KAB. SERUYAN Total</v>
      </c>
      <c r="O5" s="36" t="str">
        <f>'4. Isi Produksi Ikan'!AO4</f>
        <v>KAB. SUKAMARA Total</v>
      </c>
      <c r="P5" s="36" t="str">
        <f>'4. Isi Produksi Ikan'!AR4</f>
        <v>KOTA PALANGKARAYA Total</v>
      </c>
      <c r="Q5" s="37" t="s">
        <v>17</v>
      </c>
    </row>
    <row r="6" spans="1:17" hidden="1" x14ac:dyDescent="0.2">
      <c r="B6" s="36" t="s">
        <v>33</v>
      </c>
      <c r="C6" s="37">
        <f>'4. Isi Produksi Ikan'!E6</f>
        <v>0</v>
      </c>
      <c r="D6" s="37">
        <f>'4. Isi Produksi Ikan'!H6</f>
        <v>0</v>
      </c>
      <c r="E6" s="37">
        <f>'4. Isi Produksi Ikan'!K6</f>
        <v>0</v>
      </c>
      <c r="F6" s="37">
        <f>'4. Isi Produksi Ikan'!N6</f>
        <v>0</v>
      </c>
      <c r="G6" s="37">
        <f>'4. Isi Produksi Ikan'!Q6</f>
        <v>0</v>
      </c>
      <c r="H6" s="37">
        <f>'4. Isi Produksi Ikan'!T6</f>
        <v>0</v>
      </c>
      <c r="I6" s="37">
        <f>'4. Isi Produksi Ikan'!W6</f>
        <v>0</v>
      </c>
      <c r="J6" s="37">
        <f>'4. Isi Produksi Ikan'!Z6</f>
        <v>0</v>
      </c>
      <c r="K6" s="37">
        <f>'4. Isi Produksi Ikan'!AC6</f>
        <v>0</v>
      </c>
      <c r="L6" s="37">
        <f>'4. Isi Produksi Ikan'!AF6</f>
        <v>0</v>
      </c>
      <c r="M6" s="37">
        <f>'4. Isi Produksi Ikan'!AI6</f>
        <v>0</v>
      </c>
      <c r="N6" s="37">
        <f>'4. Isi Produksi Ikan'!AL6</f>
        <v>0</v>
      </c>
      <c r="O6" s="37">
        <f>'4. Isi Produksi Ikan'!AO6</f>
        <v>0</v>
      </c>
      <c r="P6" s="37">
        <f>'4. Isi Produksi Ikan'!AR6</f>
        <v>0</v>
      </c>
      <c r="Q6" s="37">
        <f>'4. Isi Produksi Ikan'!AS6</f>
        <v>0</v>
      </c>
    </row>
    <row r="7" spans="1:17" x14ac:dyDescent="0.2">
      <c r="B7" s="36" t="s">
        <v>34</v>
      </c>
      <c r="C7" s="38">
        <f>SUM(C9:C87)</f>
        <v>0</v>
      </c>
      <c r="D7" s="38">
        <f t="shared" ref="D7:Q7" si="0">SUM(D9:D87)</f>
        <v>0</v>
      </c>
      <c r="E7" s="38">
        <f t="shared" si="0"/>
        <v>0</v>
      </c>
      <c r="F7" s="38">
        <f t="shared" si="0"/>
        <v>0</v>
      </c>
      <c r="G7" s="38">
        <f t="shared" si="0"/>
        <v>0</v>
      </c>
      <c r="H7" s="38">
        <f t="shared" si="0"/>
        <v>0</v>
      </c>
      <c r="I7" s="38">
        <f t="shared" si="0"/>
        <v>0</v>
      </c>
      <c r="J7" s="38">
        <f t="shared" si="0"/>
        <v>0</v>
      </c>
      <c r="K7" s="38">
        <f t="shared" si="0"/>
        <v>0</v>
      </c>
      <c r="L7" s="38">
        <f t="shared" si="0"/>
        <v>0</v>
      </c>
      <c r="M7" s="38">
        <f t="shared" si="0"/>
        <v>0</v>
      </c>
      <c r="N7" s="38">
        <f t="shared" si="0"/>
        <v>0</v>
      </c>
      <c r="O7" s="38">
        <f t="shared" si="0"/>
        <v>0</v>
      </c>
      <c r="P7" s="38">
        <f t="shared" si="0"/>
        <v>0</v>
      </c>
      <c r="Q7" s="38">
        <f t="shared" si="0"/>
        <v>0</v>
      </c>
    </row>
    <row r="8" spans="1:17" x14ac:dyDescent="0.2">
      <c r="A8" s="36" t="s">
        <v>30</v>
      </c>
      <c r="B8" s="36" t="s">
        <v>22</v>
      </c>
      <c r="C8" s="36" t="str">
        <f t="shared" ref="C8:Q8" si="1">C5</f>
        <v>KAB. BARITO SELATAN Total</v>
      </c>
      <c r="D8" s="36" t="str">
        <f t="shared" si="1"/>
        <v>KAB. BARITO TIMUR Total</v>
      </c>
      <c r="E8" s="36" t="str">
        <f t="shared" si="1"/>
        <v>KAB. BARITO UTARA Total</v>
      </c>
      <c r="F8" s="36" t="str">
        <f t="shared" si="1"/>
        <v>KAB. GUNUNG MAS Total</v>
      </c>
      <c r="G8" s="36" t="str">
        <f t="shared" si="1"/>
        <v>KAB. KAPUAS Total</v>
      </c>
      <c r="H8" s="36" t="str">
        <f t="shared" si="1"/>
        <v>KAB. KATINGAN Total</v>
      </c>
      <c r="I8" s="36" t="str">
        <f t="shared" si="1"/>
        <v>KAB. KOTAWARINGIN BARAT Total</v>
      </c>
      <c r="J8" s="36" t="str">
        <f t="shared" si="1"/>
        <v>KAB. KOTAWARINGIN TIMUR Total</v>
      </c>
      <c r="K8" s="36" t="str">
        <f t="shared" si="1"/>
        <v>KAB. LAMANDAU Total</v>
      </c>
      <c r="L8" s="36" t="str">
        <f t="shared" si="1"/>
        <v>KAB. MURUNG RAYA Total</v>
      </c>
      <c r="M8" s="36" t="str">
        <f t="shared" si="1"/>
        <v>KAB. PULANG PISAU Total</v>
      </c>
      <c r="N8" s="36" t="str">
        <f t="shared" si="1"/>
        <v>KAB. SERUYAN Total</v>
      </c>
      <c r="O8" s="36" t="str">
        <f t="shared" si="1"/>
        <v>KAB. SUKAMARA Total</v>
      </c>
      <c r="P8" s="36" t="str">
        <f t="shared" si="1"/>
        <v>KOTA PALANGKARAYA Total</v>
      </c>
      <c r="Q8" s="36" t="str">
        <f t="shared" si="1"/>
        <v>Grand Total</v>
      </c>
    </row>
    <row r="9" spans="1:17" x14ac:dyDescent="0.2">
      <c r="A9" s="14" t="s">
        <v>31</v>
      </c>
      <c r="B9" s="14" t="s">
        <v>56</v>
      </c>
      <c r="C9" s="39">
        <f>'5. Hasil Prod Ikan'!C9*'6. Isi Harga Ikan'!C9</f>
        <v>0</v>
      </c>
      <c r="D9" s="39">
        <f>'5. Hasil Prod Ikan'!D9*'6. Isi Harga Ikan'!D9</f>
        <v>0</v>
      </c>
      <c r="E9" s="39">
        <f>'5. Hasil Prod Ikan'!E9*'6. Isi Harga Ikan'!E9</f>
        <v>0</v>
      </c>
      <c r="F9" s="39">
        <f>'5. Hasil Prod Ikan'!F9*'6. Isi Harga Ikan'!F9</f>
        <v>0</v>
      </c>
      <c r="G9" s="39">
        <f>'5. Hasil Prod Ikan'!G9*'6. Isi Harga Ikan'!G9</f>
        <v>0</v>
      </c>
      <c r="H9" s="39">
        <f>'5. Hasil Prod Ikan'!H9*'6. Isi Harga Ikan'!H9</f>
        <v>0</v>
      </c>
      <c r="I9" s="39">
        <f>'5. Hasil Prod Ikan'!I9*'6. Isi Harga Ikan'!I9</f>
        <v>0</v>
      </c>
      <c r="J9" s="39">
        <f>'5. Hasil Prod Ikan'!J9*'6. Isi Harga Ikan'!J9</f>
        <v>0</v>
      </c>
      <c r="K9" s="39">
        <f>'5. Hasil Prod Ikan'!K9*'6. Isi Harga Ikan'!K9</f>
        <v>0</v>
      </c>
      <c r="L9" s="39">
        <f>'5. Hasil Prod Ikan'!L9*'6. Isi Harga Ikan'!L9</f>
        <v>0</v>
      </c>
      <c r="M9" s="39">
        <f>'5. Hasil Prod Ikan'!M9*'6. Isi Harga Ikan'!M9</f>
        <v>0</v>
      </c>
      <c r="N9" s="39">
        <f>'5. Hasil Prod Ikan'!N9*'6. Isi Harga Ikan'!N9</f>
        <v>0</v>
      </c>
      <c r="O9" s="39">
        <f>'5. Hasil Prod Ikan'!O9*'6. Isi Harga Ikan'!O9</f>
        <v>0</v>
      </c>
      <c r="P9" s="39">
        <f>'5. Hasil Prod Ikan'!P9*'6. Isi Harga Ikan'!P9</f>
        <v>0</v>
      </c>
      <c r="Q9" s="38">
        <f t="shared" ref="Q9:Q40" si="2">SUM(C9:P9)</f>
        <v>0</v>
      </c>
    </row>
    <row r="10" spans="1:17" x14ac:dyDescent="0.2">
      <c r="A10" s="14" t="s">
        <v>31</v>
      </c>
      <c r="B10" s="14" t="s">
        <v>57</v>
      </c>
      <c r="C10" s="39">
        <f>'5. Hasil Prod Ikan'!C10*'6. Isi Harga Ikan'!C10</f>
        <v>0</v>
      </c>
      <c r="D10" s="39">
        <f>'5. Hasil Prod Ikan'!D10*'6. Isi Harga Ikan'!D10</f>
        <v>0</v>
      </c>
      <c r="E10" s="39">
        <f>'5. Hasil Prod Ikan'!E10*'6. Isi Harga Ikan'!E10</f>
        <v>0</v>
      </c>
      <c r="F10" s="39">
        <f>'5. Hasil Prod Ikan'!F10*'6. Isi Harga Ikan'!F10</f>
        <v>0</v>
      </c>
      <c r="G10" s="39">
        <f>'5. Hasil Prod Ikan'!G10*'6. Isi Harga Ikan'!G10</f>
        <v>0</v>
      </c>
      <c r="H10" s="39">
        <f>'5. Hasil Prod Ikan'!H10*'6. Isi Harga Ikan'!H10</f>
        <v>0</v>
      </c>
      <c r="I10" s="39">
        <f>'5. Hasil Prod Ikan'!I10*'6. Isi Harga Ikan'!I10</f>
        <v>0</v>
      </c>
      <c r="J10" s="39">
        <f>'5. Hasil Prod Ikan'!J10*'6. Isi Harga Ikan'!J10</f>
        <v>0</v>
      </c>
      <c r="K10" s="39">
        <f>'5. Hasil Prod Ikan'!K10*'6. Isi Harga Ikan'!K10</f>
        <v>0</v>
      </c>
      <c r="L10" s="39">
        <f>'5. Hasil Prod Ikan'!L10*'6. Isi Harga Ikan'!L10</f>
        <v>0</v>
      </c>
      <c r="M10" s="39">
        <f>'5. Hasil Prod Ikan'!M10*'6. Isi Harga Ikan'!M10</f>
        <v>0</v>
      </c>
      <c r="N10" s="39">
        <f>'5. Hasil Prod Ikan'!N10*'6. Isi Harga Ikan'!N10</f>
        <v>0</v>
      </c>
      <c r="O10" s="39">
        <f>'5. Hasil Prod Ikan'!O10*'6. Isi Harga Ikan'!O10</f>
        <v>0</v>
      </c>
      <c r="P10" s="39">
        <f>'5. Hasil Prod Ikan'!P10*'6. Isi Harga Ikan'!P10</f>
        <v>0</v>
      </c>
      <c r="Q10" s="38">
        <f t="shared" si="2"/>
        <v>0</v>
      </c>
    </row>
    <row r="11" spans="1:17" x14ac:dyDescent="0.2">
      <c r="A11" s="14" t="s">
        <v>31</v>
      </c>
      <c r="B11" s="14" t="s">
        <v>58</v>
      </c>
      <c r="C11" s="39">
        <f>'5. Hasil Prod Ikan'!C11*'6. Isi Harga Ikan'!C11</f>
        <v>0</v>
      </c>
      <c r="D11" s="39">
        <f>'5. Hasil Prod Ikan'!D11*'6. Isi Harga Ikan'!D11</f>
        <v>0</v>
      </c>
      <c r="E11" s="39">
        <f>'5. Hasil Prod Ikan'!E11*'6. Isi Harga Ikan'!E11</f>
        <v>0</v>
      </c>
      <c r="F11" s="39">
        <f>'5. Hasil Prod Ikan'!F11*'6. Isi Harga Ikan'!F11</f>
        <v>0</v>
      </c>
      <c r="G11" s="39">
        <f>'5. Hasil Prod Ikan'!G11*'6. Isi Harga Ikan'!G11</f>
        <v>0</v>
      </c>
      <c r="H11" s="39">
        <f>'5. Hasil Prod Ikan'!H11*'6. Isi Harga Ikan'!H11</f>
        <v>0</v>
      </c>
      <c r="I11" s="39">
        <f>'5. Hasil Prod Ikan'!I11*'6. Isi Harga Ikan'!I11</f>
        <v>0</v>
      </c>
      <c r="J11" s="39">
        <f>'5. Hasil Prod Ikan'!J11*'6. Isi Harga Ikan'!J11</f>
        <v>0</v>
      </c>
      <c r="K11" s="39">
        <f>'5. Hasil Prod Ikan'!K11*'6. Isi Harga Ikan'!K11</f>
        <v>0</v>
      </c>
      <c r="L11" s="39">
        <f>'5. Hasil Prod Ikan'!L11*'6. Isi Harga Ikan'!L11</f>
        <v>0</v>
      </c>
      <c r="M11" s="39">
        <f>'5. Hasil Prod Ikan'!M11*'6. Isi Harga Ikan'!M11</f>
        <v>0</v>
      </c>
      <c r="N11" s="39">
        <f>'5. Hasil Prod Ikan'!N11*'6. Isi Harga Ikan'!N11</f>
        <v>0</v>
      </c>
      <c r="O11" s="39">
        <f>'5. Hasil Prod Ikan'!O11*'6. Isi Harga Ikan'!O11</f>
        <v>0</v>
      </c>
      <c r="P11" s="39">
        <f>'5. Hasil Prod Ikan'!P11*'6. Isi Harga Ikan'!P11</f>
        <v>0</v>
      </c>
      <c r="Q11" s="38">
        <f t="shared" si="2"/>
        <v>0</v>
      </c>
    </row>
    <row r="12" spans="1:17" x14ac:dyDescent="0.2">
      <c r="A12" s="14" t="s">
        <v>31</v>
      </c>
      <c r="B12" s="14" t="s">
        <v>59</v>
      </c>
      <c r="C12" s="39">
        <f>'5. Hasil Prod Ikan'!C12*'6. Isi Harga Ikan'!C12</f>
        <v>0</v>
      </c>
      <c r="D12" s="39">
        <f>'5. Hasil Prod Ikan'!D12*'6. Isi Harga Ikan'!D12</f>
        <v>0</v>
      </c>
      <c r="E12" s="39">
        <f>'5. Hasil Prod Ikan'!E12*'6. Isi Harga Ikan'!E12</f>
        <v>0</v>
      </c>
      <c r="F12" s="39">
        <f>'5. Hasil Prod Ikan'!F12*'6. Isi Harga Ikan'!F12</f>
        <v>0</v>
      </c>
      <c r="G12" s="39">
        <f>'5. Hasil Prod Ikan'!G12*'6. Isi Harga Ikan'!G12</f>
        <v>0</v>
      </c>
      <c r="H12" s="39">
        <f>'5. Hasil Prod Ikan'!H12*'6. Isi Harga Ikan'!H12</f>
        <v>0</v>
      </c>
      <c r="I12" s="39">
        <f>'5. Hasil Prod Ikan'!I12*'6. Isi Harga Ikan'!I12</f>
        <v>0</v>
      </c>
      <c r="J12" s="39">
        <f>'5. Hasil Prod Ikan'!J12*'6. Isi Harga Ikan'!J12</f>
        <v>0</v>
      </c>
      <c r="K12" s="39">
        <f>'5. Hasil Prod Ikan'!K12*'6. Isi Harga Ikan'!K12</f>
        <v>0</v>
      </c>
      <c r="L12" s="39">
        <f>'5. Hasil Prod Ikan'!L12*'6. Isi Harga Ikan'!L12</f>
        <v>0</v>
      </c>
      <c r="M12" s="39">
        <f>'5. Hasil Prod Ikan'!M12*'6. Isi Harga Ikan'!M12</f>
        <v>0</v>
      </c>
      <c r="N12" s="39">
        <f>'5. Hasil Prod Ikan'!N12*'6. Isi Harga Ikan'!N12</f>
        <v>0</v>
      </c>
      <c r="O12" s="39">
        <f>'5. Hasil Prod Ikan'!O12*'6. Isi Harga Ikan'!O12</f>
        <v>0</v>
      </c>
      <c r="P12" s="39">
        <f>'5. Hasil Prod Ikan'!P12*'6. Isi Harga Ikan'!P12</f>
        <v>0</v>
      </c>
      <c r="Q12" s="38">
        <f t="shared" si="2"/>
        <v>0</v>
      </c>
    </row>
    <row r="13" spans="1:17" x14ac:dyDescent="0.2">
      <c r="A13" s="14" t="s">
        <v>31</v>
      </c>
      <c r="B13" s="14" t="s">
        <v>60</v>
      </c>
      <c r="C13" s="39">
        <f>'5. Hasil Prod Ikan'!C13*'6. Isi Harga Ikan'!C13</f>
        <v>0</v>
      </c>
      <c r="D13" s="39">
        <f>'5. Hasil Prod Ikan'!D13*'6. Isi Harga Ikan'!D13</f>
        <v>0</v>
      </c>
      <c r="E13" s="39">
        <f>'5. Hasil Prod Ikan'!E13*'6. Isi Harga Ikan'!E13</f>
        <v>0</v>
      </c>
      <c r="F13" s="39">
        <f>'5. Hasil Prod Ikan'!F13*'6. Isi Harga Ikan'!F13</f>
        <v>0</v>
      </c>
      <c r="G13" s="39">
        <f>'5. Hasil Prod Ikan'!G13*'6. Isi Harga Ikan'!G13</f>
        <v>0</v>
      </c>
      <c r="H13" s="39">
        <f>'5. Hasil Prod Ikan'!H13*'6. Isi Harga Ikan'!H13</f>
        <v>0</v>
      </c>
      <c r="I13" s="39">
        <f>'5. Hasil Prod Ikan'!I13*'6. Isi Harga Ikan'!I13</f>
        <v>0</v>
      </c>
      <c r="J13" s="39">
        <f>'5. Hasil Prod Ikan'!J13*'6. Isi Harga Ikan'!J13</f>
        <v>0</v>
      </c>
      <c r="K13" s="39">
        <f>'5. Hasil Prod Ikan'!K13*'6. Isi Harga Ikan'!K13</f>
        <v>0</v>
      </c>
      <c r="L13" s="39">
        <f>'5. Hasil Prod Ikan'!L13*'6. Isi Harga Ikan'!L13</f>
        <v>0</v>
      </c>
      <c r="M13" s="39">
        <f>'5. Hasil Prod Ikan'!M13*'6. Isi Harga Ikan'!M13</f>
        <v>0</v>
      </c>
      <c r="N13" s="39">
        <f>'5. Hasil Prod Ikan'!N13*'6. Isi Harga Ikan'!N13</f>
        <v>0</v>
      </c>
      <c r="O13" s="39">
        <f>'5. Hasil Prod Ikan'!O13*'6. Isi Harga Ikan'!O13</f>
        <v>0</v>
      </c>
      <c r="P13" s="39">
        <f>'5. Hasil Prod Ikan'!P13*'6. Isi Harga Ikan'!P13</f>
        <v>0</v>
      </c>
      <c r="Q13" s="38">
        <f t="shared" si="2"/>
        <v>0</v>
      </c>
    </row>
    <row r="14" spans="1:17" x14ac:dyDescent="0.2">
      <c r="A14" s="14" t="s">
        <v>31</v>
      </c>
      <c r="B14" s="14" t="s">
        <v>37</v>
      </c>
      <c r="C14" s="39">
        <f>'5. Hasil Prod Ikan'!C14*'6. Isi Harga Ikan'!C14</f>
        <v>0</v>
      </c>
      <c r="D14" s="39">
        <f>'5. Hasil Prod Ikan'!D14*'6. Isi Harga Ikan'!D14</f>
        <v>0</v>
      </c>
      <c r="E14" s="39">
        <f>'5. Hasil Prod Ikan'!E14*'6. Isi Harga Ikan'!E14</f>
        <v>0</v>
      </c>
      <c r="F14" s="39">
        <f>'5. Hasil Prod Ikan'!F14*'6. Isi Harga Ikan'!F14</f>
        <v>0</v>
      </c>
      <c r="G14" s="39">
        <f>'5. Hasil Prod Ikan'!G14*'6. Isi Harga Ikan'!G14</f>
        <v>0</v>
      </c>
      <c r="H14" s="39">
        <f>'5. Hasil Prod Ikan'!H14*'6. Isi Harga Ikan'!H14</f>
        <v>0</v>
      </c>
      <c r="I14" s="39">
        <f>'5. Hasil Prod Ikan'!I14*'6. Isi Harga Ikan'!I14</f>
        <v>0</v>
      </c>
      <c r="J14" s="39">
        <f>'5. Hasil Prod Ikan'!J14*'6. Isi Harga Ikan'!J14</f>
        <v>0</v>
      </c>
      <c r="K14" s="39">
        <f>'5. Hasil Prod Ikan'!K14*'6. Isi Harga Ikan'!K14</f>
        <v>0</v>
      </c>
      <c r="L14" s="39">
        <f>'5. Hasil Prod Ikan'!L14*'6. Isi Harga Ikan'!L14</f>
        <v>0</v>
      </c>
      <c r="M14" s="39">
        <f>'5. Hasil Prod Ikan'!M14*'6. Isi Harga Ikan'!M14</f>
        <v>0</v>
      </c>
      <c r="N14" s="39">
        <f>'5. Hasil Prod Ikan'!N14*'6. Isi Harga Ikan'!N14</f>
        <v>0</v>
      </c>
      <c r="O14" s="39">
        <f>'5. Hasil Prod Ikan'!O14*'6. Isi Harga Ikan'!O14</f>
        <v>0</v>
      </c>
      <c r="P14" s="39">
        <f>'5. Hasil Prod Ikan'!P14*'6. Isi Harga Ikan'!P14</f>
        <v>0</v>
      </c>
      <c r="Q14" s="38">
        <f t="shared" si="2"/>
        <v>0</v>
      </c>
    </row>
    <row r="15" spans="1:17" x14ac:dyDescent="0.2">
      <c r="A15" s="14" t="s">
        <v>31</v>
      </c>
      <c r="B15" s="14" t="s">
        <v>38</v>
      </c>
      <c r="C15" s="39">
        <f>'5. Hasil Prod Ikan'!C15*'6. Isi Harga Ikan'!C15</f>
        <v>0</v>
      </c>
      <c r="D15" s="39">
        <f>'5. Hasil Prod Ikan'!D15*'6. Isi Harga Ikan'!D15</f>
        <v>0</v>
      </c>
      <c r="E15" s="39">
        <f>'5. Hasil Prod Ikan'!E15*'6. Isi Harga Ikan'!E15</f>
        <v>0</v>
      </c>
      <c r="F15" s="39">
        <f>'5. Hasil Prod Ikan'!F15*'6. Isi Harga Ikan'!F15</f>
        <v>0</v>
      </c>
      <c r="G15" s="39">
        <f>'5. Hasil Prod Ikan'!G15*'6. Isi Harga Ikan'!G15</f>
        <v>0</v>
      </c>
      <c r="H15" s="39">
        <f>'5. Hasil Prod Ikan'!H15*'6. Isi Harga Ikan'!H15</f>
        <v>0</v>
      </c>
      <c r="I15" s="39">
        <f>'5. Hasil Prod Ikan'!I15*'6. Isi Harga Ikan'!I15</f>
        <v>0</v>
      </c>
      <c r="J15" s="39">
        <f>'5. Hasil Prod Ikan'!J15*'6. Isi Harga Ikan'!J15</f>
        <v>0</v>
      </c>
      <c r="K15" s="39">
        <f>'5. Hasil Prod Ikan'!K15*'6. Isi Harga Ikan'!K15</f>
        <v>0</v>
      </c>
      <c r="L15" s="39">
        <f>'5. Hasil Prod Ikan'!L15*'6. Isi Harga Ikan'!L15</f>
        <v>0</v>
      </c>
      <c r="M15" s="39">
        <f>'5. Hasil Prod Ikan'!M15*'6. Isi Harga Ikan'!M15</f>
        <v>0</v>
      </c>
      <c r="N15" s="39">
        <f>'5. Hasil Prod Ikan'!N15*'6. Isi Harga Ikan'!N15</f>
        <v>0</v>
      </c>
      <c r="O15" s="39">
        <f>'5. Hasil Prod Ikan'!O15*'6. Isi Harga Ikan'!O15</f>
        <v>0</v>
      </c>
      <c r="P15" s="39">
        <f>'5. Hasil Prod Ikan'!P15*'6. Isi Harga Ikan'!P15</f>
        <v>0</v>
      </c>
      <c r="Q15" s="38">
        <f t="shared" si="2"/>
        <v>0</v>
      </c>
    </row>
    <row r="16" spans="1:17" x14ac:dyDescent="0.2">
      <c r="A16" s="14" t="s">
        <v>31</v>
      </c>
      <c r="B16" s="14" t="s">
        <v>39</v>
      </c>
      <c r="C16" s="39">
        <f>'5. Hasil Prod Ikan'!C16*'6. Isi Harga Ikan'!C16</f>
        <v>0</v>
      </c>
      <c r="D16" s="39">
        <f>'5. Hasil Prod Ikan'!D16*'6. Isi Harga Ikan'!D16</f>
        <v>0</v>
      </c>
      <c r="E16" s="39">
        <f>'5. Hasil Prod Ikan'!E16*'6. Isi Harga Ikan'!E16</f>
        <v>0</v>
      </c>
      <c r="F16" s="39">
        <f>'5. Hasil Prod Ikan'!F16*'6. Isi Harga Ikan'!F16</f>
        <v>0</v>
      </c>
      <c r="G16" s="39">
        <f>'5. Hasil Prod Ikan'!G16*'6. Isi Harga Ikan'!G16</f>
        <v>0</v>
      </c>
      <c r="H16" s="39">
        <f>'5. Hasil Prod Ikan'!H16*'6. Isi Harga Ikan'!H16</f>
        <v>0</v>
      </c>
      <c r="I16" s="39">
        <f>'5. Hasil Prod Ikan'!I16*'6. Isi Harga Ikan'!I16</f>
        <v>0</v>
      </c>
      <c r="J16" s="39">
        <f>'5. Hasil Prod Ikan'!J16*'6. Isi Harga Ikan'!J16</f>
        <v>0</v>
      </c>
      <c r="K16" s="39">
        <f>'5. Hasil Prod Ikan'!K16*'6. Isi Harga Ikan'!K16</f>
        <v>0</v>
      </c>
      <c r="L16" s="39">
        <f>'5. Hasil Prod Ikan'!L16*'6. Isi Harga Ikan'!L16</f>
        <v>0</v>
      </c>
      <c r="M16" s="39">
        <f>'5. Hasil Prod Ikan'!M16*'6. Isi Harga Ikan'!M16</f>
        <v>0</v>
      </c>
      <c r="N16" s="39">
        <f>'5. Hasil Prod Ikan'!N16*'6. Isi Harga Ikan'!N16</f>
        <v>0</v>
      </c>
      <c r="O16" s="39">
        <f>'5. Hasil Prod Ikan'!O16*'6. Isi Harga Ikan'!O16</f>
        <v>0</v>
      </c>
      <c r="P16" s="39">
        <f>'5. Hasil Prod Ikan'!P16*'6. Isi Harga Ikan'!P16</f>
        <v>0</v>
      </c>
      <c r="Q16" s="38">
        <f t="shared" si="2"/>
        <v>0</v>
      </c>
    </row>
    <row r="17" spans="1:17" x14ac:dyDescent="0.2">
      <c r="A17" s="14" t="s">
        <v>31</v>
      </c>
      <c r="B17" s="14" t="s">
        <v>61</v>
      </c>
      <c r="C17" s="39">
        <f>'5. Hasil Prod Ikan'!C17*'6. Isi Harga Ikan'!C17</f>
        <v>0</v>
      </c>
      <c r="D17" s="39">
        <f>'5. Hasil Prod Ikan'!D17*'6. Isi Harga Ikan'!D17</f>
        <v>0</v>
      </c>
      <c r="E17" s="39">
        <f>'5. Hasil Prod Ikan'!E17*'6. Isi Harga Ikan'!E17</f>
        <v>0</v>
      </c>
      <c r="F17" s="39">
        <f>'5. Hasil Prod Ikan'!F17*'6. Isi Harga Ikan'!F17</f>
        <v>0</v>
      </c>
      <c r="G17" s="39">
        <f>'5. Hasil Prod Ikan'!G17*'6. Isi Harga Ikan'!G17</f>
        <v>0</v>
      </c>
      <c r="H17" s="39">
        <f>'5. Hasil Prod Ikan'!H17*'6. Isi Harga Ikan'!H17</f>
        <v>0</v>
      </c>
      <c r="I17" s="39">
        <f>'5. Hasil Prod Ikan'!I17*'6. Isi Harga Ikan'!I17</f>
        <v>0</v>
      </c>
      <c r="J17" s="39">
        <f>'5. Hasil Prod Ikan'!J17*'6. Isi Harga Ikan'!J17</f>
        <v>0</v>
      </c>
      <c r="K17" s="39">
        <f>'5. Hasil Prod Ikan'!K17*'6. Isi Harga Ikan'!K17</f>
        <v>0</v>
      </c>
      <c r="L17" s="39">
        <f>'5. Hasil Prod Ikan'!L17*'6. Isi Harga Ikan'!L17</f>
        <v>0</v>
      </c>
      <c r="M17" s="39">
        <f>'5. Hasil Prod Ikan'!M17*'6. Isi Harga Ikan'!M17</f>
        <v>0</v>
      </c>
      <c r="N17" s="39">
        <f>'5. Hasil Prod Ikan'!N17*'6. Isi Harga Ikan'!N17</f>
        <v>0</v>
      </c>
      <c r="O17" s="39">
        <f>'5. Hasil Prod Ikan'!O17*'6. Isi Harga Ikan'!O17</f>
        <v>0</v>
      </c>
      <c r="P17" s="39">
        <f>'5. Hasil Prod Ikan'!P17*'6. Isi Harga Ikan'!P17</f>
        <v>0</v>
      </c>
      <c r="Q17" s="38">
        <f t="shared" si="2"/>
        <v>0</v>
      </c>
    </row>
    <row r="18" spans="1:17" x14ac:dyDescent="0.2">
      <c r="A18" s="14" t="s">
        <v>31</v>
      </c>
      <c r="B18" s="14" t="s">
        <v>24</v>
      </c>
      <c r="C18" s="39">
        <f>'5. Hasil Prod Ikan'!C18*'6. Isi Harga Ikan'!C18</f>
        <v>0</v>
      </c>
      <c r="D18" s="39">
        <f>'5. Hasil Prod Ikan'!D18*'6. Isi Harga Ikan'!D18</f>
        <v>0</v>
      </c>
      <c r="E18" s="39">
        <f>'5. Hasil Prod Ikan'!E18*'6. Isi Harga Ikan'!E18</f>
        <v>0</v>
      </c>
      <c r="F18" s="39">
        <f>'5. Hasil Prod Ikan'!F18*'6. Isi Harga Ikan'!F18</f>
        <v>0</v>
      </c>
      <c r="G18" s="39">
        <f>'5. Hasil Prod Ikan'!G18*'6. Isi Harga Ikan'!G18</f>
        <v>0</v>
      </c>
      <c r="H18" s="39">
        <f>'5. Hasil Prod Ikan'!H18*'6. Isi Harga Ikan'!H18</f>
        <v>0</v>
      </c>
      <c r="I18" s="39">
        <f>'5. Hasil Prod Ikan'!I18*'6. Isi Harga Ikan'!I18</f>
        <v>0</v>
      </c>
      <c r="J18" s="39">
        <f>'5. Hasil Prod Ikan'!J18*'6. Isi Harga Ikan'!J18</f>
        <v>0</v>
      </c>
      <c r="K18" s="39">
        <f>'5. Hasil Prod Ikan'!K18*'6. Isi Harga Ikan'!K18</f>
        <v>0</v>
      </c>
      <c r="L18" s="39">
        <f>'5. Hasil Prod Ikan'!L18*'6. Isi Harga Ikan'!L18</f>
        <v>0</v>
      </c>
      <c r="M18" s="39">
        <f>'5. Hasil Prod Ikan'!M18*'6. Isi Harga Ikan'!M18</f>
        <v>0</v>
      </c>
      <c r="N18" s="39">
        <f>'5. Hasil Prod Ikan'!N18*'6. Isi Harga Ikan'!N18</f>
        <v>0</v>
      </c>
      <c r="O18" s="39">
        <f>'5. Hasil Prod Ikan'!O18*'6. Isi Harga Ikan'!O18</f>
        <v>0</v>
      </c>
      <c r="P18" s="39">
        <f>'5. Hasil Prod Ikan'!P18*'6. Isi Harga Ikan'!P18</f>
        <v>0</v>
      </c>
      <c r="Q18" s="38">
        <f t="shared" si="2"/>
        <v>0</v>
      </c>
    </row>
    <row r="19" spans="1:17" x14ac:dyDescent="0.2">
      <c r="A19" s="14" t="s">
        <v>31</v>
      </c>
      <c r="B19" s="14" t="s">
        <v>62</v>
      </c>
      <c r="C19" s="39">
        <f>'5. Hasil Prod Ikan'!C19*'6. Isi Harga Ikan'!C19</f>
        <v>0</v>
      </c>
      <c r="D19" s="39">
        <f>'5. Hasil Prod Ikan'!D19*'6. Isi Harga Ikan'!D19</f>
        <v>0</v>
      </c>
      <c r="E19" s="39">
        <f>'5. Hasil Prod Ikan'!E19*'6. Isi Harga Ikan'!E19</f>
        <v>0</v>
      </c>
      <c r="F19" s="39">
        <f>'5. Hasil Prod Ikan'!F19*'6. Isi Harga Ikan'!F19</f>
        <v>0</v>
      </c>
      <c r="G19" s="39">
        <f>'5. Hasil Prod Ikan'!G19*'6. Isi Harga Ikan'!G19</f>
        <v>0</v>
      </c>
      <c r="H19" s="39">
        <f>'5. Hasil Prod Ikan'!H19*'6. Isi Harga Ikan'!H19</f>
        <v>0</v>
      </c>
      <c r="I19" s="39">
        <f>'5. Hasil Prod Ikan'!I19*'6. Isi Harga Ikan'!I19</f>
        <v>0</v>
      </c>
      <c r="J19" s="39">
        <f>'5. Hasil Prod Ikan'!J19*'6. Isi Harga Ikan'!J19</f>
        <v>0</v>
      </c>
      <c r="K19" s="39">
        <f>'5. Hasil Prod Ikan'!K19*'6. Isi Harga Ikan'!K19</f>
        <v>0</v>
      </c>
      <c r="L19" s="39">
        <f>'5. Hasil Prod Ikan'!L19*'6. Isi Harga Ikan'!L19</f>
        <v>0</v>
      </c>
      <c r="M19" s="39">
        <f>'5. Hasil Prod Ikan'!M19*'6. Isi Harga Ikan'!M19</f>
        <v>0</v>
      </c>
      <c r="N19" s="39">
        <f>'5. Hasil Prod Ikan'!N19*'6. Isi Harga Ikan'!N19</f>
        <v>0</v>
      </c>
      <c r="O19" s="39">
        <f>'5. Hasil Prod Ikan'!O19*'6. Isi Harga Ikan'!O19</f>
        <v>0</v>
      </c>
      <c r="P19" s="39">
        <f>'5. Hasil Prod Ikan'!P19*'6. Isi Harga Ikan'!P19</f>
        <v>0</v>
      </c>
      <c r="Q19" s="38">
        <f t="shared" si="2"/>
        <v>0</v>
      </c>
    </row>
    <row r="20" spans="1:17" x14ac:dyDescent="0.2">
      <c r="A20" s="14" t="s">
        <v>31</v>
      </c>
      <c r="B20" s="14" t="s">
        <v>63</v>
      </c>
      <c r="C20" s="39">
        <f>'5. Hasil Prod Ikan'!C20*'6. Isi Harga Ikan'!C20</f>
        <v>0</v>
      </c>
      <c r="D20" s="39">
        <f>'5. Hasil Prod Ikan'!D20*'6. Isi Harga Ikan'!D20</f>
        <v>0</v>
      </c>
      <c r="E20" s="39">
        <f>'5. Hasil Prod Ikan'!E20*'6. Isi Harga Ikan'!E20</f>
        <v>0</v>
      </c>
      <c r="F20" s="39">
        <f>'5. Hasil Prod Ikan'!F20*'6. Isi Harga Ikan'!F20</f>
        <v>0</v>
      </c>
      <c r="G20" s="39">
        <f>'5. Hasil Prod Ikan'!G20*'6. Isi Harga Ikan'!G20</f>
        <v>0</v>
      </c>
      <c r="H20" s="39">
        <f>'5. Hasil Prod Ikan'!H20*'6. Isi Harga Ikan'!H20</f>
        <v>0</v>
      </c>
      <c r="I20" s="39">
        <f>'5. Hasil Prod Ikan'!I20*'6. Isi Harga Ikan'!I20</f>
        <v>0</v>
      </c>
      <c r="J20" s="39">
        <f>'5. Hasil Prod Ikan'!J20*'6. Isi Harga Ikan'!J20</f>
        <v>0</v>
      </c>
      <c r="K20" s="39">
        <f>'5. Hasil Prod Ikan'!K20*'6. Isi Harga Ikan'!K20</f>
        <v>0</v>
      </c>
      <c r="L20" s="39">
        <f>'5. Hasil Prod Ikan'!L20*'6. Isi Harga Ikan'!L20</f>
        <v>0</v>
      </c>
      <c r="M20" s="39">
        <f>'5. Hasil Prod Ikan'!M20*'6. Isi Harga Ikan'!M20</f>
        <v>0</v>
      </c>
      <c r="N20" s="39">
        <f>'5. Hasil Prod Ikan'!N20*'6. Isi Harga Ikan'!N20</f>
        <v>0</v>
      </c>
      <c r="O20" s="39">
        <f>'5. Hasil Prod Ikan'!O20*'6. Isi Harga Ikan'!O20</f>
        <v>0</v>
      </c>
      <c r="P20" s="39">
        <f>'5. Hasil Prod Ikan'!P20*'6. Isi Harga Ikan'!P20</f>
        <v>0</v>
      </c>
      <c r="Q20" s="38">
        <f t="shared" si="2"/>
        <v>0</v>
      </c>
    </row>
    <row r="21" spans="1:17" x14ac:dyDescent="0.2">
      <c r="A21" s="14" t="s">
        <v>31</v>
      </c>
      <c r="B21" s="14" t="s">
        <v>64</v>
      </c>
      <c r="C21" s="39">
        <f>'5. Hasil Prod Ikan'!C21*'6. Isi Harga Ikan'!C21</f>
        <v>0</v>
      </c>
      <c r="D21" s="39">
        <f>'5. Hasil Prod Ikan'!D21*'6. Isi Harga Ikan'!D21</f>
        <v>0</v>
      </c>
      <c r="E21" s="39">
        <f>'5. Hasil Prod Ikan'!E21*'6. Isi Harga Ikan'!E21</f>
        <v>0</v>
      </c>
      <c r="F21" s="39">
        <f>'5. Hasil Prod Ikan'!F21*'6. Isi Harga Ikan'!F21</f>
        <v>0</v>
      </c>
      <c r="G21" s="39">
        <f>'5. Hasil Prod Ikan'!G21*'6. Isi Harga Ikan'!G21</f>
        <v>0</v>
      </c>
      <c r="H21" s="39">
        <f>'5. Hasil Prod Ikan'!H21*'6. Isi Harga Ikan'!H21</f>
        <v>0</v>
      </c>
      <c r="I21" s="39">
        <f>'5. Hasil Prod Ikan'!I21*'6. Isi Harga Ikan'!I21</f>
        <v>0</v>
      </c>
      <c r="J21" s="39">
        <f>'5. Hasil Prod Ikan'!J21*'6. Isi Harga Ikan'!J21</f>
        <v>0</v>
      </c>
      <c r="K21" s="39">
        <f>'5. Hasil Prod Ikan'!K21*'6. Isi Harga Ikan'!K21</f>
        <v>0</v>
      </c>
      <c r="L21" s="39">
        <f>'5. Hasil Prod Ikan'!L21*'6. Isi Harga Ikan'!L21</f>
        <v>0</v>
      </c>
      <c r="M21" s="39">
        <f>'5. Hasil Prod Ikan'!M21*'6. Isi Harga Ikan'!M21</f>
        <v>0</v>
      </c>
      <c r="N21" s="39">
        <f>'5. Hasil Prod Ikan'!N21*'6. Isi Harga Ikan'!N21</f>
        <v>0</v>
      </c>
      <c r="O21" s="39">
        <f>'5. Hasil Prod Ikan'!O21*'6. Isi Harga Ikan'!O21</f>
        <v>0</v>
      </c>
      <c r="P21" s="39">
        <f>'5. Hasil Prod Ikan'!P21*'6. Isi Harga Ikan'!P21</f>
        <v>0</v>
      </c>
      <c r="Q21" s="38">
        <f t="shared" si="2"/>
        <v>0</v>
      </c>
    </row>
    <row r="22" spans="1:17" x14ac:dyDescent="0.2">
      <c r="A22" s="14" t="s">
        <v>31</v>
      </c>
      <c r="B22" s="14" t="s">
        <v>65</v>
      </c>
      <c r="C22" s="39">
        <f>'5. Hasil Prod Ikan'!C22*'6. Isi Harga Ikan'!C22</f>
        <v>0</v>
      </c>
      <c r="D22" s="39">
        <f>'5. Hasil Prod Ikan'!D22*'6. Isi Harga Ikan'!D22</f>
        <v>0</v>
      </c>
      <c r="E22" s="39">
        <f>'5. Hasil Prod Ikan'!E22*'6. Isi Harga Ikan'!E22</f>
        <v>0</v>
      </c>
      <c r="F22" s="39">
        <f>'5. Hasil Prod Ikan'!F22*'6. Isi Harga Ikan'!F22</f>
        <v>0</v>
      </c>
      <c r="G22" s="39">
        <f>'5. Hasil Prod Ikan'!G22*'6. Isi Harga Ikan'!G22</f>
        <v>0</v>
      </c>
      <c r="H22" s="39">
        <f>'5. Hasil Prod Ikan'!H22*'6. Isi Harga Ikan'!H22</f>
        <v>0</v>
      </c>
      <c r="I22" s="39">
        <f>'5. Hasil Prod Ikan'!I22*'6. Isi Harga Ikan'!I22</f>
        <v>0</v>
      </c>
      <c r="J22" s="39">
        <f>'5. Hasil Prod Ikan'!J22*'6. Isi Harga Ikan'!J22</f>
        <v>0</v>
      </c>
      <c r="K22" s="39">
        <f>'5. Hasil Prod Ikan'!K22*'6. Isi Harga Ikan'!K22</f>
        <v>0</v>
      </c>
      <c r="L22" s="39">
        <f>'5. Hasil Prod Ikan'!L22*'6. Isi Harga Ikan'!L22</f>
        <v>0</v>
      </c>
      <c r="M22" s="39">
        <f>'5. Hasil Prod Ikan'!M22*'6. Isi Harga Ikan'!M22</f>
        <v>0</v>
      </c>
      <c r="N22" s="39">
        <f>'5. Hasil Prod Ikan'!N22*'6. Isi Harga Ikan'!N22</f>
        <v>0</v>
      </c>
      <c r="O22" s="39">
        <f>'5. Hasil Prod Ikan'!O22*'6. Isi Harga Ikan'!O22</f>
        <v>0</v>
      </c>
      <c r="P22" s="39">
        <f>'5. Hasil Prod Ikan'!P22*'6. Isi Harga Ikan'!P22</f>
        <v>0</v>
      </c>
      <c r="Q22" s="38">
        <f t="shared" si="2"/>
        <v>0</v>
      </c>
    </row>
    <row r="23" spans="1:17" x14ac:dyDescent="0.2">
      <c r="A23" s="14" t="s">
        <v>31</v>
      </c>
      <c r="B23" s="14" t="s">
        <v>66</v>
      </c>
      <c r="C23" s="39">
        <f>'5. Hasil Prod Ikan'!C23*'6. Isi Harga Ikan'!C23</f>
        <v>0</v>
      </c>
      <c r="D23" s="39">
        <f>'5. Hasil Prod Ikan'!D23*'6. Isi Harga Ikan'!D23</f>
        <v>0</v>
      </c>
      <c r="E23" s="39">
        <f>'5. Hasil Prod Ikan'!E23*'6. Isi Harga Ikan'!E23</f>
        <v>0</v>
      </c>
      <c r="F23" s="39">
        <f>'5. Hasil Prod Ikan'!F23*'6. Isi Harga Ikan'!F23</f>
        <v>0</v>
      </c>
      <c r="G23" s="39">
        <f>'5. Hasil Prod Ikan'!G23*'6. Isi Harga Ikan'!G23</f>
        <v>0</v>
      </c>
      <c r="H23" s="39">
        <f>'5. Hasil Prod Ikan'!H23*'6. Isi Harga Ikan'!H23</f>
        <v>0</v>
      </c>
      <c r="I23" s="39">
        <f>'5. Hasil Prod Ikan'!I23*'6. Isi Harga Ikan'!I23</f>
        <v>0</v>
      </c>
      <c r="J23" s="39">
        <f>'5. Hasil Prod Ikan'!J23*'6. Isi Harga Ikan'!J23</f>
        <v>0</v>
      </c>
      <c r="K23" s="39">
        <f>'5. Hasil Prod Ikan'!K23*'6. Isi Harga Ikan'!K23</f>
        <v>0</v>
      </c>
      <c r="L23" s="39">
        <f>'5. Hasil Prod Ikan'!L23*'6. Isi Harga Ikan'!L23</f>
        <v>0</v>
      </c>
      <c r="M23" s="39">
        <f>'5. Hasil Prod Ikan'!M23*'6. Isi Harga Ikan'!M23</f>
        <v>0</v>
      </c>
      <c r="N23" s="39">
        <f>'5. Hasil Prod Ikan'!N23*'6. Isi Harga Ikan'!N23</f>
        <v>0</v>
      </c>
      <c r="O23" s="39">
        <f>'5. Hasil Prod Ikan'!O23*'6. Isi Harga Ikan'!O23</f>
        <v>0</v>
      </c>
      <c r="P23" s="39">
        <f>'5. Hasil Prod Ikan'!P23*'6. Isi Harga Ikan'!P23</f>
        <v>0</v>
      </c>
      <c r="Q23" s="38">
        <f t="shared" si="2"/>
        <v>0</v>
      </c>
    </row>
    <row r="24" spans="1:17" x14ac:dyDescent="0.2">
      <c r="A24" s="14" t="s">
        <v>31</v>
      </c>
      <c r="B24" s="14" t="s">
        <v>67</v>
      </c>
      <c r="C24" s="39">
        <f>'5. Hasil Prod Ikan'!C24*'6. Isi Harga Ikan'!C24</f>
        <v>0</v>
      </c>
      <c r="D24" s="39">
        <f>'5. Hasil Prod Ikan'!D24*'6. Isi Harga Ikan'!D24</f>
        <v>0</v>
      </c>
      <c r="E24" s="39">
        <f>'5. Hasil Prod Ikan'!E24*'6. Isi Harga Ikan'!E24</f>
        <v>0</v>
      </c>
      <c r="F24" s="39">
        <f>'5. Hasil Prod Ikan'!F24*'6. Isi Harga Ikan'!F24</f>
        <v>0</v>
      </c>
      <c r="G24" s="39">
        <f>'5. Hasil Prod Ikan'!G24*'6. Isi Harga Ikan'!G24</f>
        <v>0</v>
      </c>
      <c r="H24" s="39">
        <f>'5. Hasil Prod Ikan'!H24*'6. Isi Harga Ikan'!H24</f>
        <v>0</v>
      </c>
      <c r="I24" s="39">
        <f>'5. Hasil Prod Ikan'!I24*'6. Isi Harga Ikan'!I24</f>
        <v>0</v>
      </c>
      <c r="J24" s="39">
        <f>'5. Hasil Prod Ikan'!J24*'6. Isi Harga Ikan'!J24</f>
        <v>0</v>
      </c>
      <c r="K24" s="39">
        <f>'5. Hasil Prod Ikan'!K24*'6. Isi Harga Ikan'!K24</f>
        <v>0</v>
      </c>
      <c r="L24" s="39">
        <f>'5. Hasil Prod Ikan'!L24*'6. Isi Harga Ikan'!L24</f>
        <v>0</v>
      </c>
      <c r="M24" s="39">
        <f>'5. Hasil Prod Ikan'!M24*'6. Isi Harga Ikan'!M24</f>
        <v>0</v>
      </c>
      <c r="N24" s="39">
        <f>'5. Hasil Prod Ikan'!N24*'6. Isi Harga Ikan'!N24</f>
        <v>0</v>
      </c>
      <c r="O24" s="39">
        <f>'5. Hasil Prod Ikan'!O24*'6. Isi Harga Ikan'!O24</f>
        <v>0</v>
      </c>
      <c r="P24" s="39">
        <f>'5. Hasil Prod Ikan'!P24*'6. Isi Harga Ikan'!P24</f>
        <v>0</v>
      </c>
      <c r="Q24" s="38">
        <f t="shared" si="2"/>
        <v>0</v>
      </c>
    </row>
    <row r="25" spans="1:17" x14ac:dyDescent="0.2">
      <c r="A25" s="14" t="s">
        <v>31</v>
      </c>
      <c r="B25" s="14" t="s">
        <v>68</v>
      </c>
      <c r="C25" s="39">
        <f>'5. Hasil Prod Ikan'!C25*'6. Isi Harga Ikan'!C25</f>
        <v>0</v>
      </c>
      <c r="D25" s="39">
        <f>'5. Hasil Prod Ikan'!D25*'6. Isi Harga Ikan'!D25</f>
        <v>0</v>
      </c>
      <c r="E25" s="39">
        <f>'5. Hasil Prod Ikan'!E25*'6. Isi Harga Ikan'!E25</f>
        <v>0</v>
      </c>
      <c r="F25" s="39">
        <f>'5. Hasil Prod Ikan'!F25*'6. Isi Harga Ikan'!F25</f>
        <v>0</v>
      </c>
      <c r="G25" s="39">
        <f>'5. Hasil Prod Ikan'!G25*'6. Isi Harga Ikan'!G25</f>
        <v>0</v>
      </c>
      <c r="H25" s="39">
        <f>'5. Hasil Prod Ikan'!H25*'6. Isi Harga Ikan'!H25</f>
        <v>0</v>
      </c>
      <c r="I25" s="39">
        <f>'5. Hasil Prod Ikan'!I25*'6. Isi Harga Ikan'!I25</f>
        <v>0</v>
      </c>
      <c r="J25" s="39">
        <f>'5. Hasil Prod Ikan'!J25*'6. Isi Harga Ikan'!J25</f>
        <v>0</v>
      </c>
      <c r="K25" s="39">
        <f>'5. Hasil Prod Ikan'!K25*'6. Isi Harga Ikan'!K25</f>
        <v>0</v>
      </c>
      <c r="L25" s="39">
        <f>'5. Hasil Prod Ikan'!L25*'6. Isi Harga Ikan'!L25</f>
        <v>0</v>
      </c>
      <c r="M25" s="39">
        <f>'5. Hasil Prod Ikan'!M25*'6. Isi Harga Ikan'!M25</f>
        <v>0</v>
      </c>
      <c r="N25" s="39">
        <f>'5. Hasil Prod Ikan'!N25*'6. Isi Harga Ikan'!N25</f>
        <v>0</v>
      </c>
      <c r="O25" s="39">
        <f>'5. Hasil Prod Ikan'!O25*'6. Isi Harga Ikan'!O25</f>
        <v>0</v>
      </c>
      <c r="P25" s="39">
        <f>'5. Hasil Prod Ikan'!P25*'6. Isi Harga Ikan'!P25</f>
        <v>0</v>
      </c>
      <c r="Q25" s="38">
        <f t="shared" si="2"/>
        <v>0</v>
      </c>
    </row>
    <row r="26" spans="1:17" x14ac:dyDescent="0.2">
      <c r="A26" s="14" t="s">
        <v>31</v>
      </c>
      <c r="B26" s="14" t="s">
        <v>69</v>
      </c>
      <c r="C26" s="39">
        <f>'5. Hasil Prod Ikan'!C26*'6. Isi Harga Ikan'!C26</f>
        <v>0</v>
      </c>
      <c r="D26" s="39">
        <f>'5. Hasil Prod Ikan'!D26*'6. Isi Harga Ikan'!D26</f>
        <v>0</v>
      </c>
      <c r="E26" s="39">
        <f>'5. Hasil Prod Ikan'!E26*'6. Isi Harga Ikan'!E26</f>
        <v>0</v>
      </c>
      <c r="F26" s="39">
        <f>'5. Hasil Prod Ikan'!F26*'6. Isi Harga Ikan'!F26</f>
        <v>0</v>
      </c>
      <c r="G26" s="39">
        <f>'5. Hasil Prod Ikan'!G26*'6. Isi Harga Ikan'!G26</f>
        <v>0</v>
      </c>
      <c r="H26" s="39">
        <f>'5. Hasil Prod Ikan'!H26*'6. Isi Harga Ikan'!H26</f>
        <v>0</v>
      </c>
      <c r="I26" s="39">
        <f>'5. Hasil Prod Ikan'!I26*'6. Isi Harga Ikan'!I26</f>
        <v>0</v>
      </c>
      <c r="J26" s="39">
        <f>'5. Hasil Prod Ikan'!J26*'6. Isi Harga Ikan'!J26</f>
        <v>0</v>
      </c>
      <c r="K26" s="39">
        <f>'5. Hasil Prod Ikan'!K26*'6. Isi Harga Ikan'!K26</f>
        <v>0</v>
      </c>
      <c r="L26" s="39">
        <f>'5. Hasil Prod Ikan'!L26*'6. Isi Harga Ikan'!L26</f>
        <v>0</v>
      </c>
      <c r="M26" s="39">
        <f>'5. Hasil Prod Ikan'!M26*'6. Isi Harga Ikan'!M26</f>
        <v>0</v>
      </c>
      <c r="N26" s="39">
        <f>'5. Hasil Prod Ikan'!N26*'6. Isi Harga Ikan'!N26</f>
        <v>0</v>
      </c>
      <c r="O26" s="39">
        <f>'5. Hasil Prod Ikan'!O26*'6. Isi Harga Ikan'!O26</f>
        <v>0</v>
      </c>
      <c r="P26" s="39">
        <f>'5. Hasil Prod Ikan'!P26*'6. Isi Harga Ikan'!P26</f>
        <v>0</v>
      </c>
      <c r="Q26" s="38">
        <f t="shared" si="2"/>
        <v>0</v>
      </c>
    </row>
    <row r="27" spans="1:17" x14ac:dyDescent="0.2">
      <c r="A27" s="14" t="s">
        <v>31</v>
      </c>
      <c r="B27" s="14" t="s">
        <v>70</v>
      </c>
      <c r="C27" s="39">
        <f>'5. Hasil Prod Ikan'!C27*'6. Isi Harga Ikan'!C27</f>
        <v>0</v>
      </c>
      <c r="D27" s="39">
        <f>'5. Hasil Prod Ikan'!D27*'6. Isi Harga Ikan'!D27</f>
        <v>0</v>
      </c>
      <c r="E27" s="39">
        <f>'5. Hasil Prod Ikan'!E27*'6. Isi Harga Ikan'!E27</f>
        <v>0</v>
      </c>
      <c r="F27" s="39">
        <f>'5. Hasil Prod Ikan'!F27*'6. Isi Harga Ikan'!F27</f>
        <v>0</v>
      </c>
      <c r="G27" s="39">
        <f>'5. Hasil Prod Ikan'!G27*'6. Isi Harga Ikan'!G27</f>
        <v>0</v>
      </c>
      <c r="H27" s="39">
        <f>'5. Hasil Prod Ikan'!H27*'6. Isi Harga Ikan'!H27</f>
        <v>0</v>
      </c>
      <c r="I27" s="39">
        <f>'5. Hasil Prod Ikan'!I27*'6. Isi Harga Ikan'!I27</f>
        <v>0</v>
      </c>
      <c r="J27" s="39">
        <f>'5. Hasil Prod Ikan'!J27*'6. Isi Harga Ikan'!J27</f>
        <v>0</v>
      </c>
      <c r="K27" s="39">
        <f>'5. Hasil Prod Ikan'!K27*'6. Isi Harga Ikan'!K27</f>
        <v>0</v>
      </c>
      <c r="L27" s="39">
        <f>'5. Hasil Prod Ikan'!L27*'6. Isi Harga Ikan'!L27</f>
        <v>0</v>
      </c>
      <c r="M27" s="39">
        <f>'5. Hasil Prod Ikan'!M27*'6. Isi Harga Ikan'!M27</f>
        <v>0</v>
      </c>
      <c r="N27" s="39">
        <f>'5. Hasil Prod Ikan'!N27*'6. Isi Harga Ikan'!N27</f>
        <v>0</v>
      </c>
      <c r="O27" s="39">
        <f>'5. Hasil Prod Ikan'!O27*'6. Isi Harga Ikan'!O27</f>
        <v>0</v>
      </c>
      <c r="P27" s="39">
        <f>'5. Hasil Prod Ikan'!P27*'6. Isi Harga Ikan'!P27</f>
        <v>0</v>
      </c>
      <c r="Q27" s="38">
        <f t="shared" si="2"/>
        <v>0</v>
      </c>
    </row>
    <row r="28" spans="1:17" x14ac:dyDescent="0.2">
      <c r="A28" s="14" t="s">
        <v>31</v>
      </c>
      <c r="B28" s="14" t="s">
        <v>71</v>
      </c>
      <c r="C28" s="39">
        <f>'5. Hasil Prod Ikan'!C28*'6. Isi Harga Ikan'!C28</f>
        <v>0</v>
      </c>
      <c r="D28" s="39">
        <f>'5. Hasil Prod Ikan'!D28*'6. Isi Harga Ikan'!D28</f>
        <v>0</v>
      </c>
      <c r="E28" s="39">
        <f>'5. Hasil Prod Ikan'!E28*'6. Isi Harga Ikan'!E28</f>
        <v>0</v>
      </c>
      <c r="F28" s="39">
        <f>'5. Hasil Prod Ikan'!F28*'6. Isi Harga Ikan'!F28</f>
        <v>0</v>
      </c>
      <c r="G28" s="39">
        <f>'5. Hasil Prod Ikan'!G28*'6. Isi Harga Ikan'!G28</f>
        <v>0</v>
      </c>
      <c r="H28" s="39">
        <f>'5. Hasil Prod Ikan'!H28*'6. Isi Harga Ikan'!H28</f>
        <v>0</v>
      </c>
      <c r="I28" s="39">
        <f>'5. Hasil Prod Ikan'!I28*'6. Isi Harga Ikan'!I28</f>
        <v>0</v>
      </c>
      <c r="J28" s="39">
        <f>'5. Hasil Prod Ikan'!J28*'6. Isi Harga Ikan'!J28</f>
        <v>0</v>
      </c>
      <c r="K28" s="39">
        <f>'5. Hasil Prod Ikan'!K28*'6. Isi Harga Ikan'!K28</f>
        <v>0</v>
      </c>
      <c r="L28" s="39">
        <f>'5. Hasil Prod Ikan'!L28*'6. Isi Harga Ikan'!L28</f>
        <v>0</v>
      </c>
      <c r="M28" s="39">
        <f>'5. Hasil Prod Ikan'!M28*'6. Isi Harga Ikan'!M28</f>
        <v>0</v>
      </c>
      <c r="N28" s="39">
        <f>'5. Hasil Prod Ikan'!N28*'6. Isi Harga Ikan'!N28</f>
        <v>0</v>
      </c>
      <c r="O28" s="39">
        <f>'5. Hasil Prod Ikan'!O28*'6. Isi Harga Ikan'!O28</f>
        <v>0</v>
      </c>
      <c r="P28" s="39">
        <f>'5. Hasil Prod Ikan'!P28*'6. Isi Harga Ikan'!P28</f>
        <v>0</v>
      </c>
      <c r="Q28" s="38">
        <f t="shared" si="2"/>
        <v>0</v>
      </c>
    </row>
    <row r="29" spans="1:17" x14ac:dyDescent="0.2">
      <c r="A29" s="14" t="s">
        <v>31</v>
      </c>
      <c r="B29" s="14" t="s">
        <v>72</v>
      </c>
      <c r="C29" s="39">
        <f>'5. Hasil Prod Ikan'!C29*'6. Isi Harga Ikan'!C29</f>
        <v>0</v>
      </c>
      <c r="D29" s="39">
        <f>'5. Hasil Prod Ikan'!D29*'6. Isi Harga Ikan'!D29</f>
        <v>0</v>
      </c>
      <c r="E29" s="39">
        <f>'5. Hasil Prod Ikan'!E29*'6. Isi Harga Ikan'!E29</f>
        <v>0</v>
      </c>
      <c r="F29" s="39">
        <f>'5. Hasil Prod Ikan'!F29*'6. Isi Harga Ikan'!F29</f>
        <v>0</v>
      </c>
      <c r="G29" s="39">
        <f>'5. Hasil Prod Ikan'!G29*'6. Isi Harga Ikan'!G29</f>
        <v>0</v>
      </c>
      <c r="H29" s="39">
        <f>'5. Hasil Prod Ikan'!H29*'6. Isi Harga Ikan'!H29</f>
        <v>0</v>
      </c>
      <c r="I29" s="39">
        <f>'5. Hasil Prod Ikan'!I29*'6. Isi Harga Ikan'!I29</f>
        <v>0</v>
      </c>
      <c r="J29" s="39">
        <f>'5. Hasil Prod Ikan'!J29*'6. Isi Harga Ikan'!J29</f>
        <v>0</v>
      </c>
      <c r="K29" s="39">
        <f>'5. Hasil Prod Ikan'!K29*'6. Isi Harga Ikan'!K29</f>
        <v>0</v>
      </c>
      <c r="L29" s="39">
        <f>'5. Hasil Prod Ikan'!L29*'6. Isi Harga Ikan'!L29</f>
        <v>0</v>
      </c>
      <c r="M29" s="39">
        <f>'5. Hasil Prod Ikan'!M29*'6. Isi Harga Ikan'!M29</f>
        <v>0</v>
      </c>
      <c r="N29" s="39">
        <f>'5. Hasil Prod Ikan'!N29*'6. Isi Harga Ikan'!N29</f>
        <v>0</v>
      </c>
      <c r="O29" s="39">
        <f>'5. Hasil Prod Ikan'!O29*'6. Isi Harga Ikan'!O29</f>
        <v>0</v>
      </c>
      <c r="P29" s="39">
        <f>'5. Hasil Prod Ikan'!P29*'6. Isi Harga Ikan'!P29</f>
        <v>0</v>
      </c>
      <c r="Q29" s="38">
        <f t="shared" si="2"/>
        <v>0</v>
      </c>
    </row>
    <row r="30" spans="1:17" x14ac:dyDescent="0.2">
      <c r="A30" s="14" t="s">
        <v>31</v>
      </c>
      <c r="B30" s="14" t="s">
        <v>73</v>
      </c>
      <c r="C30" s="39">
        <f>'5. Hasil Prod Ikan'!C30*'6. Isi Harga Ikan'!C30</f>
        <v>0</v>
      </c>
      <c r="D30" s="39">
        <f>'5. Hasil Prod Ikan'!D30*'6. Isi Harga Ikan'!D30</f>
        <v>0</v>
      </c>
      <c r="E30" s="39">
        <f>'5. Hasil Prod Ikan'!E30*'6. Isi Harga Ikan'!E30</f>
        <v>0</v>
      </c>
      <c r="F30" s="39">
        <f>'5. Hasil Prod Ikan'!F30*'6. Isi Harga Ikan'!F30</f>
        <v>0</v>
      </c>
      <c r="G30" s="39">
        <f>'5. Hasil Prod Ikan'!G30*'6. Isi Harga Ikan'!G30</f>
        <v>0</v>
      </c>
      <c r="H30" s="39">
        <f>'5. Hasil Prod Ikan'!H30*'6. Isi Harga Ikan'!H30</f>
        <v>0</v>
      </c>
      <c r="I30" s="39">
        <f>'5. Hasil Prod Ikan'!I30*'6. Isi Harga Ikan'!I30</f>
        <v>0</v>
      </c>
      <c r="J30" s="39">
        <f>'5. Hasil Prod Ikan'!J30*'6. Isi Harga Ikan'!J30</f>
        <v>0</v>
      </c>
      <c r="K30" s="39">
        <f>'5. Hasil Prod Ikan'!K30*'6. Isi Harga Ikan'!K30</f>
        <v>0</v>
      </c>
      <c r="L30" s="39">
        <f>'5. Hasil Prod Ikan'!L30*'6. Isi Harga Ikan'!L30</f>
        <v>0</v>
      </c>
      <c r="M30" s="39">
        <f>'5. Hasil Prod Ikan'!M30*'6. Isi Harga Ikan'!M30</f>
        <v>0</v>
      </c>
      <c r="N30" s="39">
        <f>'5. Hasil Prod Ikan'!N30*'6. Isi Harga Ikan'!N30</f>
        <v>0</v>
      </c>
      <c r="O30" s="39">
        <f>'5. Hasil Prod Ikan'!O30*'6. Isi Harga Ikan'!O30</f>
        <v>0</v>
      </c>
      <c r="P30" s="39">
        <f>'5. Hasil Prod Ikan'!P30*'6. Isi Harga Ikan'!P30</f>
        <v>0</v>
      </c>
      <c r="Q30" s="38">
        <f t="shared" si="2"/>
        <v>0</v>
      </c>
    </row>
    <row r="31" spans="1:17" x14ac:dyDescent="0.2">
      <c r="A31" s="14" t="s">
        <v>31</v>
      </c>
      <c r="B31" s="14" t="s">
        <v>74</v>
      </c>
      <c r="C31" s="39">
        <f>'5. Hasil Prod Ikan'!C31*'6. Isi Harga Ikan'!C31</f>
        <v>0</v>
      </c>
      <c r="D31" s="39">
        <f>'5. Hasil Prod Ikan'!D31*'6. Isi Harga Ikan'!D31</f>
        <v>0</v>
      </c>
      <c r="E31" s="39">
        <f>'5. Hasil Prod Ikan'!E31*'6. Isi Harga Ikan'!E31</f>
        <v>0</v>
      </c>
      <c r="F31" s="39">
        <f>'5. Hasil Prod Ikan'!F31*'6. Isi Harga Ikan'!F31</f>
        <v>0</v>
      </c>
      <c r="G31" s="39">
        <f>'5. Hasil Prod Ikan'!G31*'6. Isi Harga Ikan'!G31</f>
        <v>0</v>
      </c>
      <c r="H31" s="39">
        <f>'5. Hasil Prod Ikan'!H31*'6. Isi Harga Ikan'!H31</f>
        <v>0</v>
      </c>
      <c r="I31" s="39">
        <f>'5. Hasil Prod Ikan'!I31*'6. Isi Harga Ikan'!I31</f>
        <v>0</v>
      </c>
      <c r="J31" s="39">
        <f>'5. Hasil Prod Ikan'!J31*'6. Isi Harga Ikan'!J31</f>
        <v>0</v>
      </c>
      <c r="K31" s="39">
        <f>'5. Hasil Prod Ikan'!K31*'6. Isi Harga Ikan'!K31</f>
        <v>0</v>
      </c>
      <c r="L31" s="39">
        <f>'5. Hasil Prod Ikan'!L31*'6. Isi Harga Ikan'!L31</f>
        <v>0</v>
      </c>
      <c r="M31" s="39">
        <f>'5. Hasil Prod Ikan'!M31*'6. Isi Harga Ikan'!M31</f>
        <v>0</v>
      </c>
      <c r="N31" s="39">
        <f>'5. Hasil Prod Ikan'!N31*'6. Isi Harga Ikan'!N31</f>
        <v>0</v>
      </c>
      <c r="O31" s="39">
        <f>'5. Hasil Prod Ikan'!O31*'6. Isi Harga Ikan'!O31</f>
        <v>0</v>
      </c>
      <c r="P31" s="39">
        <f>'5. Hasil Prod Ikan'!P31*'6. Isi Harga Ikan'!P31</f>
        <v>0</v>
      </c>
      <c r="Q31" s="38">
        <f t="shared" si="2"/>
        <v>0</v>
      </c>
    </row>
    <row r="32" spans="1:17" x14ac:dyDescent="0.2">
      <c r="A32" s="14" t="s">
        <v>31</v>
      </c>
      <c r="B32" s="14" t="s">
        <v>75</v>
      </c>
      <c r="C32" s="39">
        <f>'5. Hasil Prod Ikan'!C32*'6. Isi Harga Ikan'!C32</f>
        <v>0</v>
      </c>
      <c r="D32" s="39">
        <f>'5. Hasil Prod Ikan'!D32*'6. Isi Harga Ikan'!D32</f>
        <v>0</v>
      </c>
      <c r="E32" s="39">
        <f>'5. Hasil Prod Ikan'!E32*'6. Isi Harga Ikan'!E32</f>
        <v>0</v>
      </c>
      <c r="F32" s="39">
        <f>'5. Hasil Prod Ikan'!F32*'6. Isi Harga Ikan'!F32</f>
        <v>0</v>
      </c>
      <c r="G32" s="39">
        <f>'5. Hasil Prod Ikan'!G32*'6. Isi Harga Ikan'!G32</f>
        <v>0</v>
      </c>
      <c r="H32" s="39">
        <f>'5. Hasil Prod Ikan'!H32*'6. Isi Harga Ikan'!H32</f>
        <v>0</v>
      </c>
      <c r="I32" s="39">
        <f>'5. Hasil Prod Ikan'!I32*'6. Isi Harga Ikan'!I32</f>
        <v>0</v>
      </c>
      <c r="J32" s="39">
        <f>'5. Hasil Prod Ikan'!J32*'6. Isi Harga Ikan'!J32</f>
        <v>0</v>
      </c>
      <c r="K32" s="39">
        <f>'5. Hasil Prod Ikan'!K32*'6. Isi Harga Ikan'!K32</f>
        <v>0</v>
      </c>
      <c r="L32" s="39">
        <f>'5. Hasil Prod Ikan'!L32*'6. Isi Harga Ikan'!L32</f>
        <v>0</v>
      </c>
      <c r="M32" s="39">
        <f>'5. Hasil Prod Ikan'!M32*'6. Isi Harga Ikan'!M32</f>
        <v>0</v>
      </c>
      <c r="N32" s="39">
        <f>'5. Hasil Prod Ikan'!N32*'6. Isi Harga Ikan'!N32</f>
        <v>0</v>
      </c>
      <c r="O32" s="39">
        <f>'5. Hasil Prod Ikan'!O32*'6. Isi Harga Ikan'!O32</f>
        <v>0</v>
      </c>
      <c r="P32" s="39">
        <f>'5. Hasil Prod Ikan'!P32*'6. Isi Harga Ikan'!P32</f>
        <v>0</v>
      </c>
      <c r="Q32" s="38">
        <f t="shared" si="2"/>
        <v>0</v>
      </c>
    </row>
    <row r="33" spans="1:17" x14ac:dyDescent="0.2">
      <c r="A33" s="14" t="s">
        <v>31</v>
      </c>
      <c r="B33" s="14" t="s">
        <v>76</v>
      </c>
      <c r="C33" s="39">
        <f>'5. Hasil Prod Ikan'!C33*'6. Isi Harga Ikan'!C33</f>
        <v>0</v>
      </c>
      <c r="D33" s="39">
        <f>'5. Hasil Prod Ikan'!D33*'6. Isi Harga Ikan'!D33</f>
        <v>0</v>
      </c>
      <c r="E33" s="39">
        <f>'5. Hasil Prod Ikan'!E33*'6. Isi Harga Ikan'!E33</f>
        <v>0</v>
      </c>
      <c r="F33" s="39">
        <f>'5. Hasil Prod Ikan'!F33*'6. Isi Harga Ikan'!F33</f>
        <v>0</v>
      </c>
      <c r="G33" s="39">
        <f>'5. Hasil Prod Ikan'!G33*'6. Isi Harga Ikan'!G33</f>
        <v>0</v>
      </c>
      <c r="H33" s="39">
        <f>'5. Hasil Prod Ikan'!H33*'6. Isi Harga Ikan'!H33</f>
        <v>0</v>
      </c>
      <c r="I33" s="39">
        <f>'5. Hasil Prod Ikan'!I33*'6. Isi Harga Ikan'!I33</f>
        <v>0</v>
      </c>
      <c r="J33" s="39">
        <f>'5. Hasil Prod Ikan'!J33*'6. Isi Harga Ikan'!J33</f>
        <v>0</v>
      </c>
      <c r="K33" s="39">
        <f>'5. Hasil Prod Ikan'!K33*'6. Isi Harga Ikan'!K33</f>
        <v>0</v>
      </c>
      <c r="L33" s="39">
        <f>'5. Hasil Prod Ikan'!L33*'6. Isi Harga Ikan'!L33</f>
        <v>0</v>
      </c>
      <c r="M33" s="39">
        <f>'5. Hasil Prod Ikan'!M33*'6. Isi Harga Ikan'!M33</f>
        <v>0</v>
      </c>
      <c r="N33" s="39">
        <f>'5. Hasil Prod Ikan'!N33*'6. Isi Harga Ikan'!N33</f>
        <v>0</v>
      </c>
      <c r="O33" s="39">
        <f>'5. Hasil Prod Ikan'!O33*'6. Isi Harga Ikan'!O33</f>
        <v>0</v>
      </c>
      <c r="P33" s="39">
        <f>'5. Hasil Prod Ikan'!P33*'6. Isi Harga Ikan'!P33</f>
        <v>0</v>
      </c>
      <c r="Q33" s="38">
        <f t="shared" si="2"/>
        <v>0</v>
      </c>
    </row>
    <row r="34" spans="1:17" x14ac:dyDescent="0.2">
      <c r="A34" s="14" t="s">
        <v>31</v>
      </c>
      <c r="B34" s="14" t="s">
        <v>77</v>
      </c>
      <c r="C34" s="39">
        <f>'5. Hasil Prod Ikan'!C34*'6. Isi Harga Ikan'!C34</f>
        <v>0</v>
      </c>
      <c r="D34" s="39">
        <f>'5. Hasil Prod Ikan'!D34*'6. Isi Harga Ikan'!D34</f>
        <v>0</v>
      </c>
      <c r="E34" s="39">
        <f>'5. Hasil Prod Ikan'!E34*'6. Isi Harga Ikan'!E34</f>
        <v>0</v>
      </c>
      <c r="F34" s="39">
        <f>'5. Hasil Prod Ikan'!F34*'6. Isi Harga Ikan'!F34</f>
        <v>0</v>
      </c>
      <c r="G34" s="39">
        <f>'5. Hasil Prod Ikan'!G34*'6. Isi Harga Ikan'!G34</f>
        <v>0</v>
      </c>
      <c r="H34" s="39">
        <f>'5. Hasil Prod Ikan'!H34*'6. Isi Harga Ikan'!H34</f>
        <v>0</v>
      </c>
      <c r="I34" s="39">
        <f>'5. Hasil Prod Ikan'!I34*'6. Isi Harga Ikan'!I34</f>
        <v>0</v>
      </c>
      <c r="J34" s="39">
        <f>'5. Hasil Prod Ikan'!J34*'6. Isi Harga Ikan'!J34</f>
        <v>0</v>
      </c>
      <c r="K34" s="39">
        <f>'5. Hasil Prod Ikan'!K34*'6. Isi Harga Ikan'!K34</f>
        <v>0</v>
      </c>
      <c r="L34" s="39">
        <f>'5. Hasil Prod Ikan'!L34*'6. Isi Harga Ikan'!L34</f>
        <v>0</v>
      </c>
      <c r="M34" s="39">
        <f>'5. Hasil Prod Ikan'!M34*'6. Isi Harga Ikan'!M34</f>
        <v>0</v>
      </c>
      <c r="N34" s="39">
        <f>'5. Hasil Prod Ikan'!N34*'6. Isi Harga Ikan'!N34</f>
        <v>0</v>
      </c>
      <c r="O34" s="39">
        <f>'5. Hasil Prod Ikan'!O34*'6. Isi Harga Ikan'!O34</f>
        <v>0</v>
      </c>
      <c r="P34" s="39">
        <f>'5. Hasil Prod Ikan'!P34*'6. Isi Harga Ikan'!P34</f>
        <v>0</v>
      </c>
      <c r="Q34" s="38">
        <f t="shared" si="2"/>
        <v>0</v>
      </c>
    </row>
    <row r="35" spans="1:17" x14ac:dyDescent="0.2">
      <c r="A35" s="14" t="s">
        <v>31</v>
      </c>
      <c r="B35" s="14" t="s">
        <v>78</v>
      </c>
      <c r="C35" s="39">
        <f>'5. Hasil Prod Ikan'!C35*'6. Isi Harga Ikan'!C35</f>
        <v>0</v>
      </c>
      <c r="D35" s="39">
        <f>'5. Hasil Prod Ikan'!D35*'6. Isi Harga Ikan'!D35</f>
        <v>0</v>
      </c>
      <c r="E35" s="39">
        <f>'5. Hasil Prod Ikan'!E35*'6. Isi Harga Ikan'!E35</f>
        <v>0</v>
      </c>
      <c r="F35" s="39">
        <f>'5. Hasil Prod Ikan'!F35*'6. Isi Harga Ikan'!F35</f>
        <v>0</v>
      </c>
      <c r="G35" s="39">
        <f>'5. Hasil Prod Ikan'!G35*'6. Isi Harga Ikan'!G35</f>
        <v>0</v>
      </c>
      <c r="H35" s="39">
        <f>'5. Hasil Prod Ikan'!H35*'6. Isi Harga Ikan'!H35</f>
        <v>0</v>
      </c>
      <c r="I35" s="39">
        <f>'5. Hasil Prod Ikan'!I35*'6. Isi Harga Ikan'!I35</f>
        <v>0</v>
      </c>
      <c r="J35" s="39">
        <f>'5. Hasil Prod Ikan'!J35*'6. Isi Harga Ikan'!J35</f>
        <v>0</v>
      </c>
      <c r="K35" s="39">
        <f>'5. Hasil Prod Ikan'!K35*'6. Isi Harga Ikan'!K35</f>
        <v>0</v>
      </c>
      <c r="L35" s="39">
        <f>'5. Hasil Prod Ikan'!L35*'6. Isi Harga Ikan'!L35</f>
        <v>0</v>
      </c>
      <c r="M35" s="39">
        <f>'5. Hasil Prod Ikan'!M35*'6. Isi Harga Ikan'!M35</f>
        <v>0</v>
      </c>
      <c r="N35" s="39">
        <f>'5. Hasil Prod Ikan'!N35*'6. Isi Harga Ikan'!N35</f>
        <v>0</v>
      </c>
      <c r="O35" s="39">
        <f>'5. Hasil Prod Ikan'!O35*'6. Isi Harga Ikan'!O35</f>
        <v>0</v>
      </c>
      <c r="P35" s="39">
        <f>'5. Hasil Prod Ikan'!P35*'6. Isi Harga Ikan'!P35</f>
        <v>0</v>
      </c>
      <c r="Q35" s="38">
        <f t="shared" si="2"/>
        <v>0</v>
      </c>
    </row>
    <row r="36" spans="1:17" x14ac:dyDescent="0.2">
      <c r="A36" s="14" t="s">
        <v>31</v>
      </c>
      <c r="B36" s="14" t="s">
        <v>79</v>
      </c>
      <c r="C36" s="39">
        <f>'5. Hasil Prod Ikan'!C36*'6. Isi Harga Ikan'!C36</f>
        <v>0</v>
      </c>
      <c r="D36" s="39">
        <f>'5. Hasil Prod Ikan'!D36*'6. Isi Harga Ikan'!D36</f>
        <v>0</v>
      </c>
      <c r="E36" s="39">
        <f>'5. Hasil Prod Ikan'!E36*'6. Isi Harga Ikan'!E36</f>
        <v>0</v>
      </c>
      <c r="F36" s="39">
        <f>'5. Hasil Prod Ikan'!F36*'6. Isi Harga Ikan'!F36</f>
        <v>0</v>
      </c>
      <c r="G36" s="39">
        <f>'5. Hasil Prod Ikan'!G36*'6. Isi Harga Ikan'!G36</f>
        <v>0</v>
      </c>
      <c r="H36" s="39">
        <f>'5. Hasil Prod Ikan'!H36*'6. Isi Harga Ikan'!H36</f>
        <v>0</v>
      </c>
      <c r="I36" s="39">
        <f>'5. Hasil Prod Ikan'!I36*'6. Isi Harga Ikan'!I36</f>
        <v>0</v>
      </c>
      <c r="J36" s="39">
        <f>'5. Hasil Prod Ikan'!J36*'6. Isi Harga Ikan'!J36</f>
        <v>0</v>
      </c>
      <c r="K36" s="39">
        <f>'5. Hasil Prod Ikan'!K36*'6. Isi Harga Ikan'!K36</f>
        <v>0</v>
      </c>
      <c r="L36" s="39">
        <f>'5. Hasil Prod Ikan'!L36*'6. Isi Harga Ikan'!L36</f>
        <v>0</v>
      </c>
      <c r="M36" s="39">
        <f>'5. Hasil Prod Ikan'!M36*'6. Isi Harga Ikan'!M36</f>
        <v>0</v>
      </c>
      <c r="N36" s="39">
        <f>'5. Hasil Prod Ikan'!N36*'6. Isi Harga Ikan'!N36</f>
        <v>0</v>
      </c>
      <c r="O36" s="39">
        <f>'5. Hasil Prod Ikan'!O36*'6. Isi Harga Ikan'!O36</f>
        <v>0</v>
      </c>
      <c r="P36" s="39">
        <f>'5. Hasil Prod Ikan'!P36*'6. Isi Harga Ikan'!P36</f>
        <v>0</v>
      </c>
      <c r="Q36" s="38">
        <f t="shared" si="2"/>
        <v>0</v>
      </c>
    </row>
    <row r="37" spans="1:17" x14ac:dyDescent="0.2">
      <c r="A37" s="14" t="s">
        <v>31</v>
      </c>
      <c r="B37" s="14" t="s">
        <v>80</v>
      </c>
      <c r="C37" s="39">
        <f>'5. Hasil Prod Ikan'!C37*'6. Isi Harga Ikan'!C37</f>
        <v>0</v>
      </c>
      <c r="D37" s="39">
        <f>'5. Hasil Prod Ikan'!D37*'6. Isi Harga Ikan'!D37</f>
        <v>0</v>
      </c>
      <c r="E37" s="39">
        <f>'5. Hasil Prod Ikan'!E37*'6. Isi Harga Ikan'!E37</f>
        <v>0</v>
      </c>
      <c r="F37" s="39">
        <f>'5. Hasil Prod Ikan'!F37*'6. Isi Harga Ikan'!F37</f>
        <v>0</v>
      </c>
      <c r="G37" s="39">
        <f>'5. Hasil Prod Ikan'!G37*'6. Isi Harga Ikan'!G37</f>
        <v>0</v>
      </c>
      <c r="H37" s="39">
        <f>'5. Hasil Prod Ikan'!H37*'6. Isi Harga Ikan'!H37</f>
        <v>0</v>
      </c>
      <c r="I37" s="39">
        <f>'5. Hasil Prod Ikan'!I37*'6. Isi Harga Ikan'!I37</f>
        <v>0</v>
      </c>
      <c r="J37" s="39">
        <f>'5. Hasil Prod Ikan'!J37*'6. Isi Harga Ikan'!J37</f>
        <v>0</v>
      </c>
      <c r="K37" s="39">
        <f>'5. Hasil Prod Ikan'!K37*'6. Isi Harga Ikan'!K37</f>
        <v>0</v>
      </c>
      <c r="L37" s="39">
        <f>'5. Hasil Prod Ikan'!L37*'6. Isi Harga Ikan'!L37</f>
        <v>0</v>
      </c>
      <c r="M37" s="39">
        <f>'5. Hasil Prod Ikan'!M37*'6. Isi Harga Ikan'!M37</f>
        <v>0</v>
      </c>
      <c r="N37" s="39">
        <f>'5. Hasil Prod Ikan'!N37*'6. Isi Harga Ikan'!N37</f>
        <v>0</v>
      </c>
      <c r="O37" s="39">
        <f>'5. Hasil Prod Ikan'!O37*'6. Isi Harga Ikan'!O37</f>
        <v>0</v>
      </c>
      <c r="P37" s="39">
        <f>'5. Hasil Prod Ikan'!P37*'6. Isi Harga Ikan'!P37</f>
        <v>0</v>
      </c>
      <c r="Q37" s="38">
        <f t="shared" si="2"/>
        <v>0</v>
      </c>
    </row>
    <row r="38" spans="1:17" x14ac:dyDescent="0.2">
      <c r="A38" s="14" t="s">
        <v>31</v>
      </c>
      <c r="B38" s="14" t="s">
        <v>81</v>
      </c>
      <c r="C38" s="39">
        <f>'5. Hasil Prod Ikan'!C38*'6. Isi Harga Ikan'!C38</f>
        <v>0</v>
      </c>
      <c r="D38" s="39">
        <f>'5. Hasil Prod Ikan'!D38*'6. Isi Harga Ikan'!D38</f>
        <v>0</v>
      </c>
      <c r="E38" s="39">
        <f>'5. Hasil Prod Ikan'!E38*'6. Isi Harga Ikan'!E38</f>
        <v>0</v>
      </c>
      <c r="F38" s="39">
        <f>'5. Hasil Prod Ikan'!F38*'6. Isi Harga Ikan'!F38</f>
        <v>0</v>
      </c>
      <c r="G38" s="39">
        <f>'5. Hasil Prod Ikan'!G38*'6. Isi Harga Ikan'!G38</f>
        <v>0</v>
      </c>
      <c r="H38" s="39">
        <f>'5. Hasil Prod Ikan'!H38*'6. Isi Harga Ikan'!H38</f>
        <v>0</v>
      </c>
      <c r="I38" s="39">
        <f>'5. Hasil Prod Ikan'!I38*'6. Isi Harga Ikan'!I38</f>
        <v>0</v>
      </c>
      <c r="J38" s="39">
        <f>'5. Hasil Prod Ikan'!J38*'6. Isi Harga Ikan'!J38</f>
        <v>0</v>
      </c>
      <c r="K38" s="39">
        <f>'5. Hasil Prod Ikan'!K38*'6. Isi Harga Ikan'!K38</f>
        <v>0</v>
      </c>
      <c r="L38" s="39">
        <f>'5. Hasil Prod Ikan'!L38*'6. Isi Harga Ikan'!L38</f>
        <v>0</v>
      </c>
      <c r="M38" s="39">
        <f>'5. Hasil Prod Ikan'!M38*'6. Isi Harga Ikan'!M38</f>
        <v>0</v>
      </c>
      <c r="N38" s="39">
        <f>'5. Hasil Prod Ikan'!N38*'6. Isi Harga Ikan'!N38</f>
        <v>0</v>
      </c>
      <c r="O38" s="39">
        <f>'5. Hasil Prod Ikan'!O38*'6. Isi Harga Ikan'!O38</f>
        <v>0</v>
      </c>
      <c r="P38" s="39">
        <f>'5. Hasil Prod Ikan'!P38*'6. Isi Harga Ikan'!P38</f>
        <v>0</v>
      </c>
      <c r="Q38" s="38">
        <f t="shared" si="2"/>
        <v>0</v>
      </c>
    </row>
    <row r="39" spans="1:17" x14ac:dyDescent="0.2">
      <c r="A39" s="14" t="s">
        <v>31</v>
      </c>
      <c r="B39" s="14" t="s">
        <v>82</v>
      </c>
      <c r="C39" s="39">
        <f>'5. Hasil Prod Ikan'!C39*'6. Isi Harga Ikan'!C39</f>
        <v>0</v>
      </c>
      <c r="D39" s="39">
        <f>'5. Hasil Prod Ikan'!D39*'6. Isi Harga Ikan'!D39</f>
        <v>0</v>
      </c>
      <c r="E39" s="39">
        <f>'5. Hasil Prod Ikan'!E39*'6. Isi Harga Ikan'!E39</f>
        <v>0</v>
      </c>
      <c r="F39" s="39">
        <f>'5. Hasil Prod Ikan'!F39*'6. Isi Harga Ikan'!F39</f>
        <v>0</v>
      </c>
      <c r="G39" s="39">
        <f>'5. Hasil Prod Ikan'!G39*'6. Isi Harga Ikan'!G39</f>
        <v>0</v>
      </c>
      <c r="H39" s="39">
        <f>'5. Hasil Prod Ikan'!H39*'6. Isi Harga Ikan'!H39</f>
        <v>0</v>
      </c>
      <c r="I39" s="39">
        <f>'5. Hasil Prod Ikan'!I39*'6. Isi Harga Ikan'!I39</f>
        <v>0</v>
      </c>
      <c r="J39" s="39">
        <f>'5. Hasil Prod Ikan'!J39*'6. Isi Harga Ikan'!J39</f>
        <v>0</v>
      </c>
      <c r="K39" s="39">
        <f>'5. Hasil Prod Ikan'!K39*'6. Isi Harga Ikan'!K39</f>
        <v>0</v>
      </c>
      <c r="L39" s="39">
        <f>'5. Hasil Prod Ikan'!L39*'6. Isi Harga Ikan'!L39</f>
        <v>0</v>
      </c>
      <c r="M39" s="39">
        <f>'5. Hasil Prod Ikan'!M39*'6. Isi Harga Ikan'!M39</f>
        <v>0</v>
      </c>
      <c r="N39" s="39">
        <f>'5. Hasil Prod Ikan'!N39*'6. Isi Harga Ikan'!N39</f>
        <v>0</v>
      </c>
      <c r="O39" s="39">
        <f>'5. Hasil Prod Ikan'!O39*'6. Isi Harga Ikan'!O39</f>
        <v>0</v>
      </c>
      <c r="P39" s="39">
        <f>'5. Hasil Prod Ikan'!P39*'6. Isi Harga Ikan'!P39</f>
        <v>0</v>
      </c>
      <c r="Q39" s="38">
        <f t="shared" si="2"/>
        <v>0</v>
      </c>
    </row>
    <row r="40" spans="1:17" x14ac:dyDescent="0.2">
      <c r="A40" s="14" t="s">
        <v>31</v>
      </c>
      <c r="B40" s="14" t="s">
        <v>83</v>
      </c>
      <c r="C40" s="39">
        <f>'5. Hasil Prod Ikan'!C40*'6. Isi Harga Ikan'!C40</f>
        <v>0</v>
      </c>
      <c r="D40" s="39">
        <f>'5. Hasil Prod Ikan'!D40*'6. Isi Harga Ikan'!D40</f>
        <v>0</v>
      </c>
      <c r="E40" s="39">
        <f>'5. Hasil Prod Ikan'!E40*'6. Isi Harga Ikan'!E40</f>
        <v>0</v>
      </c>
      <c r="F40" s="39">
        <f>'5. Hasil Prod Ikan'!F40*'6. Isi Harga Ikan'!F40</f>
        <v>0</v>
      </c>
      <c r="G40" s="39">
        <f>'5. Hasil Prod Ikan'!G40*'6. Isi Harga Ikan'!G40</f>
        <v>0</v>
      </c>
      <c r="H40" s="39">
        <f>'5. Hasil Prod Ikan'!H40*'6. Isi Harga Ikan'!H40</f>
        <v>0</v>
      </c>
      <c r="I40" s="39">
        <f>'5. Hasil Prod Ikan'!I40*'6. Isi Harga Ikan'!I40</f>
        <v>0</v>
      </c>
      <c r="J40" s="39">
        <f>'5. Hasil Prod Ikan'!J40*'6. Isi Harga Ikan'!J40</f>
        <v>0</v>
      </c>
      <c r="K40" s="39">
        <f>'5. Hasil Prod Ikan'!K40*'6. Isi Harga Ikan'!K40</f>
        <v>0</v>
      </c>
      <c r="L40" s="39">
        <f>'5. Hasil Prod Ikan'!L40*'6. Isi Harga Ikan'!L40</f>
        <v>0</v>
      </c>
      <c r="M40" s="39">
        <f>'5. Hasil Prod Ikan'!M40*'6. Isi Harga Ikan'!M40</f>
        <v>0</v>
      </c>
      <c r="N40" s="39">
        <f>'5. Hasil Prod Ikan'!N40*'6. Isi Harga Ikan'!N40</f>
        <v>0</v>
      </c>
      <c r="O40" s="39">
        <f>'5. Hasil Prod Ikan'!O40*'6. Isi Harga Ikan'!O40</f>
        <v>0</v>
      </c>
      <c r="P40" s="39">
        <f>'5. Hasil Prod Ikan'!P40*'6. Isi Harga Ikan'!P40</f>
        <v>0</v>
      </c>
      <c r="Q40" s="38">
        <f t="shared" si="2"/>
        <v>0</v>
      </c>
    </row>
    <row r="41" spans="1:17" x14ac:dyDescent="0.2">
      <c r="A41" s="14" t="s">
        <v>31</v>
      </c>
      <c r="B41" s="14" t="s">
        <v>84</v>
      </c>
      <c r="C41" s="39">
        <f>'5. Hasil Prod Ikan'!C41*'6. Isi Harga Ikan'!C41</f>
        <v>0</v>
      </c>
      <c r="D41" s="39">
        <f>'5. Hasil Prod Ikan'!D41*'6. Isi Harga Ikan'!D41</f>
        <v>0</v>
      </c>
      <c r="E41" s="39">
        <f>'5. Hasil Prod Ikan'!E41*'6. Isi Harga Ikan'!E41</f>
        <v>0</v>
      </c>
      <c r="F41" s="39">
        <f>'5. Hasil Prod Ikan'!F41*'6. Isi Harga Ikan'!F41</f>
        <v>0</v>
      </c>
      <c r="G41" s="39">
        <f>'5. Hasil Prod Ikan'!G41*'6. Isi Harga Ikan'!G41</f>
        <v>0</v>
      </c>
      <c r="H41" s="39">
        <f>'5. Hasil Prod Ikan'!H41*'6. Isi Harga Ikan'!H41</f>
        <v>0</v>
      </c>
      <c r="I41" s="39">
        <f>'5. Hasil Prod Ikan'!I41*'6. Isi Harga Ikan'!I41</f>
        <v>0</v>
      </c>
      <c r="J41" s="39">
        <f>'5. Hasil Prod Ikan'!J41*'6. Isi Harga Ikan'!J41</f>
        <v>0</v>
      </c>
      <c r="K41" s="39">
        <f>'5. Hasil Prod Ikan'!K41*'6. Isi Harga Ikan'!K41</f>
        <v>0</v>
      </c>
      <c r="L41" s="39">
        <f>'5. Hasil Prod Ikan'!L41*'6. Isi Harga Ikan'!L41</f>
        <v>0</v>
      </c>
      <c r="M41" s="39">
        <f>'5. Hasil Prod Ikan'!M41*'6. Isi Harga Ikan'!M41</f>
        <v>0</v>
      </c>
      <c r="N41" s="39">
        <f>'5. Hasil Prod Ikan'!N41*'6. Isi Harga Ikan'!N41</f>
        <v>0</v>
      </c>
      <c r="O41" s="39">
        <f>'5. Hasil Prod Ikan'!O41*'6. Isi Harga Ikan'!O41</f>
        <v>0</v>
      </c>
      <c r="P41" s="39">
        <f>'5. Hasil Prod Ikan'!P41*'6. Isi Harga Ikan'!P41</f>
        <v>0</v>
      </c>
      <c r="Q41" s="38">
        <f t="shared" ref="Q41:Q72" si="3">SUM(C41:P41)</f>
        <v>0</v>
      </c>
    </row>
    <row r="42" spans="1:17" x14ac:dyDescent="0.2">
      <c r="A42" s="14" t="s">
        <v>31</v>
      </c>
      <c r="B42" s="14" t="s">
        <v>85</v>
      </c>
      <c r="C42" s="39">
        <f>'5. Hasil Prod Ikan'!C42*'6. Isi Harga Ikan'!C42</f>
        <v>0</v>
      </c>
      <c r="D42" s="39">
        <f>'5. Hasil Prod Ikan'!D42*'6. Isi Harga Ikan'!D42</f>
        <v>0</v>
      </c>
      <c r="E42" s="39">
        <f>'5. Hasil Prod Ikan'!E42*'6. Isi Harga Ikan'!E42</f>
        <v>0</v>
      </c>
      <c r="F42" s="39">
        <f>'5. Hasil Prod Ikan'!F42*'6. Isi Harga Ikan'!F42</f>
        <v>0</v>
      </c>
      <c r="G42" s="39">
        <f>'5. Hasil Prod Ikan'!G42*'6. Isi Harga Ikan'!G42</f>
        <v>0</v>
      </c>
      <c r="H42" s="39">
        <f>'5. Hasil Prod Ikan'!H42*'6. Isi Harga Ikan'!H42</f>
        <v>0</v>
      </c>
      <c r="I42" s="39">
        <f>'5. Hasil Prod Ikan'!I42*'6. Isi Harga Ikan'!I42</f>
        <v>0</v>
      </c>
      <c r="J42" s="39">
        <f>'5. Hasil Prod Ikan'!J42*'6. Isi Harga Ikan'!J42</f>
        <v>0</v>
      </c>
      <c r="K42" s="39">
        <f>'5. Hasil Prod Ikan'!K42*'6. Isi Harga Ikan'!K42</f>
        <v>0</v>
      </c>
      <c r="L42" s="39">
        <f>'5. Hasil Prod Ikan'!L42*'6. Isi Harga Ikan'!L42</f>
        <v>0</v>
      </c>
      <c r="M42" s="39">
        <f>'5. Hasil Prod Ikan'!M42*'6. Isi Harga Ikan'!M42</f>
        <v>0</v>
      </c>
      <c r="N42" s="39">
        <f>'5. Hasil Prod Ikan'!N42*'6. Isi Harga Ikan'!N42</f>
        <v>0</v>
      </c>
      <c r="O42" s="39">
        <f>'5. Hasil Prod Ikan'!O42*'6. Isi Harga Ikan'!O42</f>
        <v>0</v>
      </c>
      <c r="P42" s="39">
        <f>'5. Hasil Prod Ikan'!P42*'6. Isi Harga Ikan'!P42</f>
        <v>0</v>
      </c>
      <c r="Q42" s="38">
        <f t="shared" si="3"/>
        <v>0</v>
      </c>
    </row>
    <row r="43" spans="1:17" x14ac:dyDescent="0.2">
      <c r="A43" s="14" t="s">
        <v>31</v>
      </c>
      <c r="B43" s="14" t="s">
        <v>25</v>
      </c>
      <c r="C43" s="39">
        <f>'5. Hasil Prod Ikan'!C43*'6. Isi Harga Ikan'!C43</f>
        <v>0</v>
      </c>
      <c r="D43" s="39">
        <f>'5. Hasil Prod Ikan'!D43*'6. Isi Harga Ikan'!D43</f>
        <v>0</v>
      </c>
      <c r="E43" s="39">
        <f>'5. Hasil Prod Ikan'!E43*'6. Isi Harga Ikan'!E43</f>
        <v>0</v>
      </c>
      <c r="F43" s="39">
        <f>'5. Hasil Prod Ikan'!F43*'6. Isi Harga Ikan'!F43</f>
        <v>0</v>
      </c>
      <c r="G43" s="39">
        <f>'5. Hasil Prod Ikan'!G43*'6. Isi Harga Ikan'!G43</f>
        <v>0</v>
      </c>
      <c r="H43" s="39">
        <f>'5. Hasil Prod Ikan'!H43*'6. Isi Harga Ikan'!H43</f>
        <v>0</v>
      </c>
      <c r="I43" s="39">
        <f>'5. Hasil Prod Ikan'!I43*'6. Isi Harga Ikan'!I43</f>
        <v>0</v>
      </c>
      <c r="J43" s="39">
        <f>'5. Hasil Prod Ikan'!J43*'6. Isi Harga Ikan'!J43</f>
        <v>0</v>
      </c>
      <c r="K43" s="39">
        <f>'5. Hasil Prod Ikan'!K43*'6. Isi Harga Ikan'!K43</f>
        <v>0</v>
      </c>
      <c r="L43" s="39">
        <f>'5. Hasil Prod Ikan'!L43*'6. Isi Harga Ikan'!L43</f>
        <v>0</v>
      </c>
      <c r="M43" s="39">
        <f>'5. Hasil Prod Ikan'!M43*'6. Isi Harga Ikan'!M43</f>
        <v>0</v>
      </c>
      <c r="N43" s="39">
        <f>'5. Hasil Prod Ikan'!N43*'6. Isi Harga Ikan'!N43</f>
        <v>0</v>
      </c>
      <c r="O43" s="39">
        <f>'5. Hasil Prod Ikan'!O43*'6. Isi Harga Ikan'!O43</f>
        <v>0</v>
      </c>
      <c r="P43" s="39">
        <f>'5. Hasil Prod Ikan'!P43*'6. Isi Harga Ikan'!P43</f>
        <v>0</v>
      </c>
      <c r="Q43" s="38">
        <f t="shared" si="3"/>
        <v>0</v>
      </c>
    </row>
    <row r="44" spans="1:17" x14ac:dyDescent="0.2">
      <c r="A44" s="14" t="s">
        <v>31</v>
      </c>
      <c r="B44" s="14" t="s">
        <v>86</v>
      </c>
      <c r="C44" s="39">
        <f>'5. Hasil Prod Ikan'!C44*'6. Isi Harga Ikan'!C44</f>
        <v>0</v>
      </c>
      <c r="D44" s="39">
        <f>'5. Hasil Prod Ikan'!D44*'6. Isi Harga Ikan'!D44</f>
        <v>0</v>
      </c>
      <c r="E44" s="39">
        <f>'5. Hasil Prod Ikan'!E44*'6. Isi Harga Ikan'!E44</f>
        <v>0</v>
      </c>
      <c r="F44" s="39">
        <f>'5. Hasil Prod Ikan'!F44*'6. Isi Harga Ikan'!F44</f>
        <v>0</v>
      </c>
      <c r="G44" s="39">
        <f>'5. Hasil Prod Ikan'!G44*'6. Isi Harga Ikan'!G44</f>
        <v>0</v>
      </c>
      <c r="H44" s="39">
        <f>'5. Hasil Prod Ikan'!H44*'6. Isi Harga Ikan'!H44</f>
        <v>0</v>
      </c>
      <c r="I44" s="39">
        <f>'5. Hasil Prod Ikan'!I44*'6. Isi Harga Ikan'!I44</f>
        <v>0</v>
      </c>
      <c r="J44" s="39">
        <f>'5. Hasil Prod Ikan'!J44*'6. Isi Harga Ikan'!J44</f>
        <v>0</v>
      </c>
      <c r="K44" s="39">
        <f>'5. Hasil Prod Ikan'!K44*'6. Isi Harga Ikan'!K44</f>
        <v>0</v>
      </c>
      <c r="L44" s="39">
        <f>'5. Hasil Prod Ikan'!L44*'6. Isi Harga Ikan'!L44</f>
        <v>0</v>
      </c>
      <c r="M44" s="39">
        <f>'5. Hasil Prod Ikan'!M44*'6. Isi Harga Ikan'!M44</f>
        <v>0</v>
      </c>
      <c r="N44" s="39">
        <f>'5. Hasil Prod Ikan'!N44*'6. Isi Harga Ikan'!N44</f>
        <v>0</v>
      </c>
      <c r="O44" s="39">
        <f>'5. Hasil Prod Ikan'!O44*'6. Isi Harga Ikan'!O44</f>
        <v>0</v>
      </c>
      <c r="P44" s="39">
        <f>'5. Hasil Prod Ikan'!P44*'6. Isi Harga Ikan'!P44</f>
        <v>0</v>
      </c>
      <c r="Q44" s="38">
        <f t="shared" si="3"/>
        <v>0</v>
      </c>
    </row>
    <row r="45" spans="1:17" x14ac:dyDescent="0.2">
      <c r="A45" s="14" t="s">
        <v>31</v>
      </c>
      <c r="B45" s="14" t="s">
        <v>87</v>
      </c>
      <c r="C45" s="39">
        <f>'5. Hasil Prod Ikan'!C45*'6. Isi Harga Ikan'!C45</f>
        <v>0</v>
      </c>
      <c r="D45" s="39">
        <f>'5. Hasil Prod Ikan'!D45*'6. Isi Harga Ikan'!D45</f>
        <v>0</v>
      </c>
      <c r="E45" s="39">
        <f>'5. Hasil Prod Ikan'!E45*'6. Isi Harga Ikan'!E45</f>
        <v>0</v>
      </c>
      <c r="F45" s="39">
        <f>'5. Hasil Prod Ikan'!F45*'6. Isi Harga Ikan'!F45</f>
        <v>0</v>
      </c>
      <c r="G45" s="39">
        <f>'5. Hasil Prod Ikan'!G45*'6. Isi Harga Ikan'!G45</f>
        <v>0</v>
      </c>
      <c r="H45" s="39">
        <f>'5. Hasil Prod Ikan'!H45*'6. Isi Harga Ikan'!H45</f>
        <v>0</v>
      </c>
      <c r="I45" s="39">
        <f>'5. Hasil Prod Ikan'!I45*'6. Isi Harga Ikan'!I45</f>
        <v>0</v>
      </c>
      <c r="J45" s="39">
        <f>'5. Hasil Prod Ikan'!J45*'6. Isi Harga Ikan'!J45</f>
        <v>0</v>
      </c>
      <c r="K45" s="39">
        <f>'5. Hasil Prod Ikan'!K45*'6. Isi Harga Ikan'!K45</f>
        <v>0</v>
      </c>
      <c r="L45" s="39">
        <f>'5. Hasil Prod Ikan'!L45*'6. Isi Harga Ikan'!L45</f>
        <v>0</v>
      </c>
      <c r="M45" s="39">
        <f>'5. Hasil Prod Ikan'!M45*'6. Isi Harga Ikan'!M45</f>
        <v>0</v>
      </c>
      <c r="N45" s="39">
        <f>'5. Hasil Prod Ikan'!N45*'6. Isi Harga Ikan'!N45</f>
        <v>0</v>
      </c>
      <c r="O45" s="39">
        <f>'5. Hasil Prod Ikan'!O45*'6. Isi Harga Ikan'!O45</f>
        <v>0</v>
      </c>
      <c r="P45" s="39">
        <f>'5. Hasil Prod Ikan'!P45*'6. Isi Harga Ikan'!P45</f>
        <v>0</v>
      </c>
      <c r="Q45" s="38">
        <f t="shared" si="3"/>
        <v>0</v>
      </c>
    </row>
    <row r="46" spans="1:17" x14ac:dyDescent="0.2">
      <c r="A46" s="14" t="s">
        <v>31</v>
      </c>
      <c r="B46" s="14" t="s">
        <v>88</v>
      </c>
      <c r="C46" s="39">
        <f>'5. Hasil Prod Ikan'!C46*'6. Isi Harga Ikan'!C46</f>
        <v>0</v>
      </c>
      <c r="D46" s="39">
        <f>'5. Hasil Prod Ikan'!D46*'6. Isi Harga Ikan'!D46</f>
        <v>0</v>
      </c>
      <c r="E46" s="39">
        <f>'5. Hasil Prod Ikan'!E46*'6. Isi Harga Ikan'!E46</f>
        <v>0</v>
      </c>
      <c r="F46" s="39">
        <f>'5. Hasil Prod Ikan'!F46*'6. Isi Harga Ikan'!F46</f>
        <v>0</v>
      </c>
      <c r="G46" s="39">
        <f>'5. Hasil Prod Ikan'!G46*'6. Isi Harga Ikan'!G46</f>
        <v>0</v>
      </c>
      <c r="H46" s="39">
        <f>'5. Hasil Prod Ikan'!H46*'6. Isi Harga Ikan'!H46</f>
        <v>0</v>
      </c>
      <c r="I46" s="39">
        <f>'5. Hasil Prod Ikan'!I46*'6. Isi Harga Ikan'!I46</f>
        <v>0</v>
      </c>
      <c r="J46" s="39">
        <f>'5. Hasil Prod Ikan'!J46*'6. Isi Harga Ikan'!J46</f>
        <v>0</v>
      </c>
      <c r="K46" s="39">
        <f>'5. Hasil Prod Ikan'!K46*'6. Isi Harga Ikan'!K46</f>
        <v>0</v>
      </c>
      <c r="L46" s="39">
        <f>'5. Hasil Prod Ikan'!L46*'6. Isi Harga Ikan'!L46</f>
        <v>0</v>
      </c>
      <c r="M46" s="39">
        <f>'5. Hasil Prod Ikan'!M46*'6. Isi Harga Ikan'!M46</f>
        <v>0</v>
      </c>
      <c r="N46" s="39">
        <f>'5. Hasil Prod Ikan'!N46*'6. Isi Harga Ikan'!N46</f>
        <v>0</v>
      </c>
      <c r="O46" s="39">
        <f>'5. Hasil Prod Ikan'!O46*'6. Isi Harga Ikan'!O46</f>
        <v>0</v>
      </c>
      <c r="P46" s="39">
        <f>'5. Hasil Prod Ikan'!P46*'6. Isi Harga Ikan'!P46</f>
        <v>0</v>
      </c>
      <c r="Q46" s="38">
        <f t="shared" si="3"/>
        <v>0</v>
      </c>
    </row>
    <row r="47" spans="1:17" x14ac:dyDescent="0.2">
      <c r="A47" s="14" t="s">
        <v>31</v>
      </c>
      <c r="B47" s="14" t="s">
        <v>89</v>
      </c>
      <c r="C47" s="39">
        <f>'5. Hasil Prod Ikan'!C47*'6. Isi Harga Ikan'!C47</f>
        <v>0</v>
      </c>
      <c r="D47" s="39">
        <f>'5. Hasil Prod Ikan'!D47*'6. Isi Harga Ikan'!D47</f>
        <v>0</v>
      </c>
      <c r="E47" s="39">
        <f>'5. Hasil Prod Ikan'!E47*'6. Isi Harga Ikan'!E47</f>
        <v>0</v>
      </c>
      <c r="F47" s="39">
        <f>'5. Hasil Prod Ikan'!F47*'6. Isi Harga Ikan'!F47</f>
        <v>0</v>
      </c>
      <c r="G47" s="39">
        <f>'5. Hasil Prod Ikan'!G47*'6. Isi Harga Ikan'!G47</f>
        <v>0</v>
      </c>
      <c r="H47" s="39">
        <f>'5. Hasil Prod Ikan'!H47*'6. Isi Harga Ikan'!H47</f>
        <v>0</v>
      </c>
      <c r="I47" s="39">
        <f>'5. Hasil Prod Ikan'!I47*'6. Isi Harga Ikan'!I47</f>
        <v>0</v>
      </c>
      <c r="J47" s="39">
        <f>'5. Hasil Prod Ikan'!J47*'6. Isi Harga Ikan'!J47</f>
        <v>0</v>
      </c>
      <c r="K47" s="39">
        <f>'5. Hasil Prod Ikan'!K47*'6. Isi Harga Ikan'!K47</f>
        <v>0</v>
      </c>
      <c r="L47" s="39">
        <f>'5. Hasil Prod Ikan'!L47*'6. Isi Harga Ikan'!L47</f>
        <v>0</v>
      </c>
      <c r="M47" s="39">
        <f>'5. Hasil Prod Ikan'!M47*'6. Isi Harga Ikan'!M47</f>
        <v>0</v>
      </c>
      <c r="N47" s="39">
        <f>'5. Hasil Prod Ikan'!N47*'6. Isi Harga Ikan'!N47</f>
        <v>0</v>
      </c>
      <c r="O47" s="39">
        <f>'5. Hasil Prod Ikan'!O47*'6. Isi Harga Ikan'!O47</f>
        <v>0</v>
      </c>
      <c r="P47" s="39">
        <f>'5. Hasil Prod Ikan'!P47*'6. Isi Harga Ikan'!P47</f>
        <v>0</v>
      </c>
      <c r="Q47" s="38">
        <f t="shared" si="3"/>
        <v>0</v>
      </c>
    </row>
    <row r="48" spans="1:17" x14ac:dyDescent="0.2">
      <c r="A48" s="14" t="s">
        <v>31</v>
      </c>
      <c r="B48" s="14" t="s">
        <v>90</v>
      </c>
      <c r="C48" s="39">
        <f>'5. Hasil Prod Ikan'!C48*'6. Isi Harga Ikan'!C48</f>
        <v>0</v>
      </c>
      <c r="D48" s="39">
        <f>'5. Hasil Prod Ikan'!D48*'6. Isi Harga Ikan'!D48</f>
        <v>0</v>
      </c>
      <c r="E48" s="39">
        <f>'5. Hasil Prod Ikan'!E48*'6. Isi Harga Ikan'!E48</f>
        <v>0</v>
      </c>
      <c r="F48" s="39">
        <f>'5. Hasil Prod Ikan'!F48*'6. Isi Harga Ikan'!F48</f>
        <v>0</v>
      </c>
      <c r="G48" s="39">
        <f>'5. Hasil Prod Ikan'!G48*'6. Isi Harga Ikan'!G48</f>
        <v>0</v>
      </c>
      <c r="H48" s="39">
        <f>'5. Hasil Prod Ikan'!H48*'6. Isi Harga Ikan'!H48</f>
        <v>0</v>
      </c>
      <c r="I48" s="39">
        <f>'5. Hasil Prod Ikan'!I48*'6. Isi Harga Ikan'!I48</f>
        <v>0</v>
      </c>
      <c r="J48" s="39">
        <f>'5. Hasil Prod Ikan'!J48*'6. Isi Harga Ikan'!J48</f>
        <v>0</v>
      </c>
      <c r="K48" s="39">
        <f>'5. Hasil Prod Ikan'!K48*'6. Isi Harga Ikan'!K48</f>
        <v>0</v>
      </c>
      <c r="L48" s="39">
        <f>'5. Hasil Prod Ikan'!L48*'6. Isi Harga Ikan'!L48</f>
        <v>0</v>
      </c>
      <c r="M48" s="39">
        <f>'5. Hasil Prod Ikan'!M48*'6. Isi Harga Ikan'!M48</f>
        <v>0</v>
      </c>
      <c r="N48" s="39">
        <f>'5. Hasil Prod Ikan'!N48*'6. Isi Harga Ikan'!N48</f>
        <v>0</v>
      </c>
      <c r="O48" s="39">
        <f>'5. Hasil Prod Ikan'!O48*'6. Isi Harga Ikan'!O48</f>
        <v>0</v>
      </c>
      <c r="P48" s="39">
        <f>'5. Hasil Prod Ikan'!P48*'6. Isi Harga Ikan'!P48</f>
        <v>0</v>
      </c>
      <c r="Q48" s="38">
        <f t="shared" si="3"/>
        <v>0</v>
      </c>
    </row>
    <row r="49" spans="1:17" x14ac:dyDescent="0.2">
      <c r="A49" s="14" t="s">
        <v>31</v>
      </c>
      <c r="B49" s="14" t="s">
        <v>91</v>
      </c>
      <c r="C49" s="39">
        <f>'5. Hasil Prod Ikan'!C49*'6. Isi Harga Ikan'!C49</f>
        <v>0</v>
      </c>
      <c r="D49" s="39">
        <f>'5. Hasil Prod Ikan'!D49*'6. Isi Harga Ikan'!D49</f>
        <v>0</v>
      </c>
      <c r="E49" s="39">
        <f>'5. Hasil Prod Ikan'!E49*'6. Isi Harga Ikan'!E49</f>
        <v>0</v>
      </c>
      <c r="F49" s="39">
        <f>'5. Hasil Prod Ikan'!F49*'6. Isi Harga Ikan'!F49</f>
        <v>0</v>
      </c>
      <c r="G49" s="39">
        <f>'5. Hasil Prod Ikan'!G49*'6. Isi Harga Ikan'!G49</f>
        <v>0</v>
      </c>
      <c r="H49" s="39">
        <f>'5. Hasil Prod Ikan'!H49*'6. Isi Harga Ikan'!H49</f>
        <v>0</v>
      </c>
      <c r="I49" s="39">
        <f>'5. Hasil Prod Ikan'!I49*'6. Isi Harga Ikan'!I49</f>
        <v>0</v>
      </c>
      <c r="J49" s="39">
        <f>'5. Hasil Prod Ikan'!J49*'6. Isi Harga Ikan'!J49</f>
        <v>0</v>
      </c>
      <c r="K49" s="39">
        <f>'5. Hasil Prod Ikan'!K49*'6. Isi Harga Ikan'!K49</f>
        <v>0</v>
      </c>
      <c r="L49" s="39">
        <f>'5. Hasil Prod Ikan'!L49*'6. Isi Harga Ikan'!L49</f>
        <v>0</v>
      </c>
      <c r="M49" s="39">
        <f>'5. Hasil Prod Ikan'!M49*'6. Isi Harga Ikan'!M49</f>
        <v>0</v>
      </c>
      <c r="N49" s="39">
        <f>'5. Hasil Prod Ikan'!N49*'6. Isi Harga Ikan'!N49</f>
        <v>0</v>
      </c>
      <c r="O49" s="39">
        <f>'5. Hasil Prod Ikan'!O49*'6. Isi Harga Ikan'!O49</f>
        <v>0</v>
      </c>
      <c r="P49" s="39">
        <f>'5. Hasil Prod Ikan'!P49*'6. Isi Harga Ikan'!P49</f>
        <v>0</v>
      </c>
      <c r="Q49" s="38">
        <f t="shared" si="3"/>
        <v>0</v>
      </c>
    </row>
    <row r="50" spans="1:17" x14ac:dyDescent="0.2">
      <c r="A50" s="14" t="s">
        <v>31</v>
      </c>
      <c r="B50" s="14" t="s">
        <v>92</v>
      </c>
      <c r="C50" s="39">
        <f>'5. Hasil Prod Ikan'!C50*'6. Isi Harga Ikan'!C50</f>
        <v>0</v>
      </c>
      <c r="D50" s="39">
        <f>'5. Hasil Prod Ikan'!D50*'6. Isi Harga Ikan'!D50</f>
        <v>0</v>
      </c>
      <c r="E50" s="39">
        <f>'5. Hasil Prod Ikan'!E50*'6. Isi Harga Ikan'!E50</f>
        <v>0</v>
      </c>
      <c r="F50" s="39">
        <f>'5. Hasil Prod Ikan'!F50*'6. Isi Harga Ikan'!F50</f>
        <v>0</v>
      </c>
      <c r="G50" s="39">
        <f>'5. Hasil Prod Ikan'!G50*'6. Isi Harga Ikan'!G50</f>
        <v>0</v>
      </c>
      <c r="H50" s="39">
        <f>'5. Hasil Prod Ikan'!H50*'6. Isi Harga Ikan'!H50</f>
        <v>0</v>
      </c>
      <c r="I50" s="39">
        <f>'5. Hasil Prod Ikan'!I50*'6. Isi Harga Ikan'!I50</f>
        <v>0</v>
      </c>
      <c r="J50" s="39">
        <f>'5. Hasil Prod Ikan'!J50*'6. Isi Harga Ikan'!J50</f>
        <v>0</v>
      </c>
      <c r="K50" s="39">
        <f>'5. Hasil Prod Ikan'!K50*'6. Isi Harga Ikan'!K50</f>
        <v>0</v>
      </c>
      <c r="L50" s="39">
        <f>'5. Hasil Prod Ikan'!L50*'6. Isi Harga Ikan'!L50</f>
        <v>0</v>
      </c>
      <c r="M50" s="39">
        <f>'5. Hasil Prod Ikan'!M50*'6. Isi Harga Ikan'!M50</f>
        <v>0</v>
      </c>
      <c r="N50" s="39">
        <f>'5. Hasil Prod Ikan'!N50*'6. Isi Harga Ikan'!N50</f>
        <v>0</v>
      </c>
      <c r="O50" s="39">
        <f>'5. Hasil Prod Ikan'!O50*'6. Isi Harga Ikan'!O50</f>
        <v>0</v>
      </c>
      <c r="P50" s="39">
        <f>'5. Hasil Prod Ikan'!P50*'6. Isi Harga Ikan'!P50</f>
        <v>0</v>
      </c>
      <c r="Q50" s="38">
        <f t="shared" si="3"/>
        <v>0</v>
      </c>
    </row>
    <row r="51" spans="1:17" x14ac:dyDescent="0.2">
      <c r="A51" s="14" t="s">
        <v>31</v>
      </c>
      <c r="B51" s="14" t="s">
        <v>93</v>
      </c>
      <c r="C51" s="39">
        <f>'5. Hasil Prod Ikan'!C51*'6. Isi Harga Ikan'!C51</f>
        <v>0</v>
      </c>
      <c r="D51" s="39">
        <f>'5. Hasil Prod Ikan'!D51*'6. Isi Harga Ikan'!D51</f>
        <v>0</v>
      </c>
      <c r="E51" s="39">
        <f>'5. Hasil Prod Ikan'!E51*'6. Isi Harga Ikan'!E51</f>
        <v>0</v>
      </c>
      <c r="F51" s="39">
        <f>'5. Hasil Prod Ikan'!F51*'6. Isi Harga Ikan'!F51</f>
        <v>0</v>
      </c>
      <c r="G51" s="39">
        <f>'5. Hasil Prod Ikan'!G51*'6. Isi Harga Ikan'!G51</f>
        <v>0</v>
      </c>
      <c r="H51" s="39">
        <f>'5. Hasil Prod Ikan'!H51*'6. Isi Harga Ikan'!H51</f>
        <v>0</v>
      </c>
      <c r="I51" s="39">
        <f>'5. Hasil Prod Ikan'!I51*'6. Isi Harga Ikan'!I51</f>
        <v>0</v>
      </c>
      <c r="J51" s="39">
        <f>'5. Hasil Prod Ikan'!J51*'6. Isi Harga Ikan'!J51</f>
        <v>0</v>
      </c>
      <c r="K51" s="39">
        <f>'5. Hasil Prod Ikan'!K51*'6. Isi Harga Ikan'!K51</f>
        <v>0</v>
      </c>
      <c r="L51" s="39">
        <f>'5. Hasil Prod Ikan'!L51*'6. Isi Harga Ikan'!L51</f>
        <v>0</v>
      </c>
      <c r="M51" s="39">
        <f>'5. Hasil Prod Ikan'!M51*'6. Isi Harga Ikan'!M51</f>
        <v>0</v>
      </c>
      <c r="N51" s="39">
        <f>'5. Hasil Prod Ikan'!N51*'6. Isi Harga Ikan'!N51</f>
        <v>0</v>
      </c>
      <c r="O51" s="39">
        <f>'5. Hasil Prod Ikan'!O51*'6. Isi Harga Ikan'!O51</f>
        <v>0</v>
      </c>
      <c r="P51" s="39">
        <f>'5. Hasil Prod Ikan'!P51*'6. Isi Harga Ikan'!P51</f>
        <v>0</v>
      </c>
      <c r="Q51" s="38">
        <f t="shared" si="3"/>
        <v>0</v>
      </c>
    </row>
    <row r="52" spans="1:17" x14ac:dyDescent="0.2">
      <c r="A52" s="14" t="s">
        <v>31</v>
      </c>
      <c r="B52" s="14" t="s">
        <v>94</v>
      </c>
      <c r="C52" s="39">
        <f>'5. Hasil Prod Ikan'!C52*'6. Isi Harga Ikan'!C52</f>
        <v>0</v>
      </c>
      <c r="D52" s="39">
        <f>'5. Hasil Prod Ikan'!D52*'6. Isi Harga Ikan'!D52</f>
        <v>0</v>
      </c>
      <c r="E52" s="39">
        <f>'5. Hasil Prod Ikan'!E52*'6. Isi Harga Ikan'!E52</f>
        <v>0</v>
      </c>
      <c r="F52" s="39">
        <f>'5. Hasil Prod Ikan'!F52*'6. Isi Harga Ikan'!F52</f>
        <v>0</v>
      </c>
      <c r="G52" s="39">
        <f>'5. Hasil Prod Ikan'!G52*'6. Isi Harga Ikan'!G52</f>
        <v>0</v>
      </c>
      <c r="H52" s="39">
        <f>'5. Hasil Prod Ikan'!H52*'6. Isi Harga Ikan'!H52</f>
        <v>0</v>
      </c>
      <c r="I52" s="39">
        <f>'5. Hasil Prod Ikan'!I52*'6. Isi Harga Ikan'!I52</f>
        <v>0</v>
      </c>
      <c r="J52" s="39">
        <f>'5. Hasil Prod Ikan'!J52*'6. Isi Harga Ikan'!J52</f>
        <v>0</v>
      </c>
      <c r="K52" s="39">
        <f>'5. Hasil Prod Ikan'!K52*'6. Isi Harga Ikan'!K52</f>
        <v>0</v>
      </c>
      <c r="L52" s="39">
        <f>'5. Hasil Prod Ikan'!L52*'6. Isi Harga Ikan'!L52</f>
        <v>0</v>
      </c>
      <c r="M52" s="39">
        <f>'5. Hasil Prod Ikan'!M52*'6. Isi Harga Ikan'!M52</f>
        <v>0</v>
      </c>
      <c r="N52" s="39">
        <f>'5. Hasil Prod Ikan'!N52*'6. Isi Harga Ikan'!N52</f>
        <v>0</v>
      </c>
      <c r="O52" s="39">
        <f>'5. Hasil Prod Ikan'!O52*'6. Isi Harga Ikan'!O52</f>
        <v>0</v>
      </c>
      <c r="P52" s="39">
        <f>'5. Hasil Prod Ikan'!P52*'6. Isi Harga Ikan'!P52</f>
        <v>0</v>
      </c>
      <c r="Q52" s="38">
        <f t="shared" si="3"/>
        <v>0</v>
      </c>
    </row>
    <row r="53" spans="1:17" x14ac:dyDescent="0.2">
      <c r="A53" s="14" t="s">
        <v>31</v>
      </c>
      <c r="B53" s="14" t="s">
        <v>95</v>
      </c>
      <c r="C53" s="39">
        <f>'5. Hasil Prod Ikan'!C53*'6. Isi Harga Ikan'!C53</f>
        <v>0</v>
      </c>
      <c r="D53" s="39">
        <f>'5. Hasil Prod Ikan'!D53*'6. Isi Harga Ikan'!D53</f>
        <v>0</v>
      </c>
      <c r="E53" s="39">
        <f>'5. Hasil Prod Ikan'!E53*'6. Isi Harga Ikan'!E53</f>
        <v>0</v>
      </c>
      <c r="F53" s="39">
        <f>'5. Hasil Prod Ikan'!F53*'6. Isi Harga Ikan'!F53</f>
        <v>0</v>
      </c>
      <c r="G53" s="39">
        <f>'5. Hasil Prod Ikan'!G53*'6. Isi Harga Ikan'!G53</f>
        <v>0</v>
      </c>
      <c r="H53" s="39">
        <f>'5. Hasil Prod Ikan'!H53*'6. Isi Harga Ikan'!H53</f>
        <v>0</v>
      </c>
      <c r="I53" s="39">
        <f>'5. Hasil Prod Ikan'!I53*'6. Isi Harga Ikan'!I53</f>
        <v>0</v>
      </c>
      <c r="J53" s="39">
        <f>'5. Hasil Prod Ikan'!J53*'6. Isi Harga Ikan'!J53</f>
        <v>0</v>
      </c>
      <c r="K53" s="39">
        <f>'5. Hasil Prod Ikan'!K53*'6. Isi Harga Ikan'!K53</f>
        <v>0</v>
      </c>
      <c r="L53" s="39">
        <f>'5. Hasil Prod Ikan'!L53*'6. Isi Harga Ikan'!L53</f>
        <v>0</v>
      </c>
      <c r="M53" s="39">
        <f>'5. Hasil Prod Ikan'!M53*'6. Isi Harga Ikan'!M53</f>
        <v>0</v>
      </c>
      <c r="N53" s="39">
        <f>'5. Hasil Prod Ikan'!N53*'6. Isi Harga Ikan'!N53</f>
        <v>0</v>
      </c>
      <c r="O53" s="39">
        <f>'5. Hasil Prod Ikan'!O53*'6. Isi Harga Ikan'!O53</f>
        <v>0</v>
      </c>
      <c r="P53" s="39">
        <f>'5. Hasil Prod Ikan'!P53*'6. Isi Harga Ikan'!P53</f>
        <v>0</v>
      </c>
      <c r="Q53" s="38">
        <f t="shared" si="3"/>
        <v>0</v>
      </c>
    </row>
    <row r="54" spans="1:17" x14ac:dyDescent="0.2">
      <c r="A54" s="14" t="s">
        <v>31</v>
      </c>
      <c r="B54" s="14" t="s">
        <v>96</v>
      </c>
      <c r="C54" s="39">
        <f>'5. Hasil Prod Ikan'!C54*'6. Isi Harga Ikan'!C54</f>
        <v>0</v>
      </c>
      <c r="D54" s="39">
        <f>'5. Hasil Prod Ikan'!D54*'6. Isi Harga Ikan'!D54</f>
        <v>0</v>
      </c>
      <c r="E54" s="39">
        <f>'5. Hasil Prod Ikan'!E54*'6. Isi Harga Ikan'!E54</f>
        <v>0</v>
      </c>
      <c r="F54" s="39">
        <f>'5. Hasil Prod Ikan'!F54*'6. Isi Harga Ikan'!F54</f>
        <v>0</v>
      </c>
      <c r="G54" s="39">
        <f>'5. Hasil Prod Ikan'!G54*'6. Isi Harga Ikan'!G54</f>
        <v>0</v>
      </c>
      <c r="H54" s="39">
        <f>'5. Hasil Prod Ikan'!H54*'6. Isi Harga Ikan'!H54</f>
        <v>0</v>
      </c>
      <c r="I54" s="39">
        <f>'5. Hasil Prod Ikan'!I54*'6. Isi Harga Ikan'!I54</f>
        <v>0</v>
      </c>
      <c r="J54" s="39">
        <f>'5. Hasil Prod Ikan'!J54*'6. Isi Harga Ikan'!J54</f>
        <v>0</v>
      </c>
      <c r="K54" s="39">
        <f>'5. Hasil Prod Ikan'!K54*'6. Isi Harga Ikan'!K54</f>
        <v>0</v>
      </c>
      <c r="L54" s="39">
        <f>'5. Hasil Prod Ikan'!L54*'6. Isi Harga Ikan'!L54</f>
        <v>0</v>
      </c>
      <c r="M54" s="39">
        <f>'5. Hasil Prod Ikan'!M54*'6. Isi Harga Ikan'!M54</f>
        <v>0</v>
      </c>
      <c r="N54" s="39">
        <f>'5. Hasil Prod Ikan'!N54*'6. Isi Harga Ikan'!N54</f>
        <v>0</v>
      </c>
      <c r="O54" s="39">
        <f>'5. Hasil Prod Ikan'!O54*'6. Isi Harga Ikan'!O54</f>
        <v>0</v>
      </c>
      <c r="P54" s="39">
        <f>'5. Hasil Prod Ikan'!P54*'6. Isi Harga Ikan'!P54</f>
        <v>0</v>
      </c>
      <c r="Q54" s="38">
        <f t="shared" si="3"/>
        <v>0</v>
      </c>
    </row>
    <row r="55" spans="1:17" x14ac:dyDescent="0.2">
      <c r="A55" s="14" t="s">
        <v>31</v>
      </c>
      <c r="B55" s="14" t="s">
        <v>97</v>
      </c>
      <c r="C55" s="39">
        <f>'5. Hasil Prod Ikan'!C55*'6. Isi Harga Ikan'!C55</f>
        <v>0</v>
      </c>
      <c r="D55" s="39">
        <f>'5. Hasil Prod Ikan'!D55*'6. Isi Harga Ikan'!D55</f>
        <v>0</v>
      </c>
      <c r="E55" s="39">
        <f>'5. Hasil Prod Ikan'!E55*'6. Isi Harga Ikan'!E55</f>
        <v>0</v>
      </c>
      <c r="F55" s="39">
        <f>'5. Hasil Prod Ikan'!F55*'6. Isi Harga Ikan'!F55</f>
        <v>0</v>
      </c>
      <c r="G55" s="39">
        <f>'5. Hasil Prod Ikan'!G55*'6. Isi Harga Ikan'!G55</f>
        <v>0</v>
      </c>
      <c r="H55" s="39">
        <f>'5. Hasil Prod Ikan'!H55*'6. Isi Harga Ikan'!H55</f>
        <v>0</v>
      </c>
      <c r="I55" s="39">
        <f>'5. Hasil Prod Ikan'!I55*'6. Isi Harga Ikan'!I55</f>
        <v>0</v>
      </c>
      <c r="J55" s="39">
        <f>'5. Hasil Prod Ikan'!J55*'6. Isi Harga Ikan'!J55</f>
        <v>0</v>
      </c>
      <c r="K55" s="39">
        <f>'5. Hasil Prod Ikan'!K55*'6. Isi Harga Ikan'!K55</f>
        <v>0</v>
      </c>
      <c r="L55" s="39">
        <f>'5. Hasil Prod Ikan'!L55*'6. Isi Harga Ikan'!L55</f>
        <v>0</v>
      </c>
      <c r="M55" s="39">
        <f>'5. Hasil Prod Ikan'!M55*'6. Isi Harga Ikan'!M55</f>
        <v>0</v>
      </c>
      <c r="N55" s="39">
        <f>'5. Hasil Prod Ikan'!N55*'6. Isi Harga Ikan'!N55</f>
        <v>0</v>
      </c>
      <c r="O55" s="39">
        <f>'5. Hasil Prod Ikan'!O55*'6. Isi Harga Ikan'!O55</f>
        <v>0</v>
      </c>
      <c r="P55" s="39">
        <f>'5. Hasil Prod Ikan'!P55*'6. Isi Harga Ikan'!P55</f>
        <v>0</v>
      </c>
      <c r="Q55" s="38">
        <f t="shared" si="3"/>
        <v>0</v>
      </c>
    </row>
    <row r="56" spans="1:17" x14ac:dyDescent="0.2">
      <c r="A56" s="14" t="s">
        <v>31</v>
      </c>
      <c r="B56" s="14" t="s">
        <v>98</v>
      </c>
      <c r="C56" s="39">
        <f>'5. Hasil Prod Ikan'!C56*'6. Isi Harga Ikan'!C56</f>
        <v>0</v>
      </c>
      <c r="D56" s="39">
        <f>'5. Hasil Prod Ikan'!D56*'6. Isi Harga Ikan'!D56</f>
        <v>0</v>
      </c>
      <c r="E56" s="39">
        <f>'5. Hasil Prod Ikan'!E56*'6. Isi Harga Ikan'!E56</f>
        <v>0</v>
      </c>
      <c r="F56" s="39">
        <f>'5. Hasil Prod Ikan'!F56*'6. Isi Harga Ikan'!F56</f>
        <v>0</v>
      </c>
      <c r="G56" s="39">
        <f>'5. Hasil Prod Ikan'!G56*'6. Isi Harga Ikan'!G56</f>
        <v>0</v>
      </c>
      <c r="H56" s="39">
        <f>'5. Hasil Prod Ikan'!H56*'6. Isi Harga Ikan'!H56</f>
        <v>0</v>
      </c>
      <c r="I56" s="39">
        <f>'5. Hasil Prod Ikan'!I56*'6. Isi Harga Ikan'!I56</f>
        <v>0</v>
      </c>
      <c r="J56" s="39">
        <f>'5. Hasil Prod Ikan'!J56*'6. Isi Harga Ikan'!J56</f>
        <v>0</v>
      </c>
      <c r="K56" s="39">
        <f>'5. Hasil Prod Ikan'!K56*'6. Isi Harga Ikan'!K56</f>
        <v>0</v>
      </c>
      <c r="L56" s="39">
        <f>'5. Hasil Prod Ikan'!L56*'6. Isi Harga Ikan'!L56</f>
        <v>0</v>
      </c>
      <c r="M56" s="39">
        <f>'5. Hasil Prod Ikan'!M56*'6. Isi Harga Ikan'!M56</f>
        <v>0</v>
      </c>
      <c r="N56" s="39">
        <f>'5. Hasil Prod Ikan'!N56*'6. Isi Harga Ikan'!N56</f>
        <v>0</v>
      </c>
      <c r="O56" s="39">
        <f>'5. Hasil Prod Ikan'!O56*'6. Isi Harga Ikan'!O56</f>
        <v>0</v>
      </c>
      <c r="P56" s="39">
        <f>'5. Hasil Prod Ikan'!P56*'6. Isi Harga Ikan'!P56</f>
        <v>0</v>
      </c>
      <c r="Q56" s="38">
        <f t="shared" si="3"/>
        <v>0</v>
      </c>
    </row>
    <row r="57" spans="1:17" x14ac:dyDescent="0.2">
      <c r="A57" s="14" t="s">
        <v>31</v>
      </c>
      <c r="B57" s="14" t="s">
        <v>99</v>
      </c>
      <c r="C57" s="39">
        <f>'5. Hasil Prod Ikan'!C57*'6. Isi Harga Ikan'!C57</f>
        <v>0</v>
      </c>
      <c r="D57" s="39">
        <f>'5. Hasil Prod Ikan'!D57*'6. Isi Harga Ikan'!D57</f>
        <v>0</v>
      </c>
      <c r="E57" s="39">
        <f>'5. Hasil Prod Ikan'!E57*'6. Isi Harga Ikan'!E57</f>
        <v>0</v>
      </c>
      <c r="F57" s="39">
        <f>'5. Hasil Prod Ikan'!F57*'6. Isi Harga Ikan'!F57</f>
        <v>0</v>
      </c>
      <c r="G57" s="39">
        <f>'5. Hasil Prod Ikan'!G57*'6. Isi Harga Ikan'!G57</f>
        <v>0</v>
      </c>
      <c r="H57" s="39">
        <f>'5. Hasil Prod Ikan'!H57*'6. Isi Harga Ikan'!H57</f>
        <v>0</v>
      </c>
      <c r="I57" s="39">
        <f>'5. Hasil Prod Ikan'!I57*'6. Isi Harga Ikan'!I57</f>
        <v>0</v>
      </c>
      <c r="J57" s="39">
        <f>'5. Hasil Prod Ikan'!J57*'6. Isi Harga Ikan'!J57</f>
        <v>0</v>
      </c>
      <c r="K57" s="39">
        <f>'5. Hasil Prod Ikan'!K57*'6. Isi Harga Ikan'!K57</f>
        <v>0</v>
      </c>
      <c r="L57" s="39">
        <f>'5. Hasil Prod Ikan'!L57*'6. Isi Harga Ikan'!L57</f>
        <v>0</v>
      </c>
      <c r="M57" s="39">
        <f>'5. Hasil Prod Ikan'!M57*'6. Isi Harga Ikan'!M57</f>
        <v>0</v>
      </c>
      <c r="N57" s="39">
        <f>'5. Hasil Prod Ikan'!N57*'6. Isi Harga Ikan'!N57</f>
        <v>0</v>
      </c>
      <c r="O57" s="39">
        <f>'5. Hasil Prod Ikan'!O57*'6. Isi Harga Ikan'!O57</f>
        <v>0</v>
      </c>
      <c r="P57" s="39">
        <f>'5. Hasil Prod Ikan'!P57*'6. Isi Harga Ikan'!P57</f>
        <v>0</v>
      </c>
      <c r="Q57" s="38">
        <f t="shared" si="3"/>
        <v>0</v>
      </c>
    </row>
    <row r="58" spans="1:17" x14ac:dyDescent="0.2">
      <c r="A58" s="14" t="s">
        <v>31</v>
      </c>
      <c r="B58" s="14" t="s">
        <v>100</v>
      </c>
      <c r="C58" s="39">
        <f>'5. Hasil Prod Ikan'!C58*'6. Isi Harga Ikan'!C58</f>
        <v>0</v>
      </c>
      <c r="D58" s="39">
        <f>'5. Hasil Prod Ikan'!D58*'6. Isi Harga Ikan'!D58</f>
        <v>0</v>
      </c>
      <c r="E58" s="39">
        <f>'5. Hasil Prod Ikan'!E58*'6. Isi Harga Ikan'!E58</f>
        <v>0</v>
      </c>
      <c r="F58" s="39">
        <f>'5. Hasil Prod Ikan'!F58*'6. Isi Harga Ikan'!F58</f>
        <v>0</v>
      </c>
      <c r="G58" s="39">
        <f>'5. Hasil Prod Ikan'!G58*'6. Isi Harga Ikan'!G58</f>
        <v>0</v>
      </c>
      <c r="H58" s="39">
        <f>'5. Hasil Prod Ikan'!H58*'6. Isi Harga Ikan'!H58</f>
        <v>0</v>
      </c>
      <c r="I58" s="39">
        <f>'5. Hasil Prod Ikan'!I58*'6. Isi Harga Ikan'!I58</f>
        <v>0</v>
      </c>
      <c r="J58" s="39">
        <f>'5. Hasil Prod Ikan'!J58*'6. Isi Harga Ikan'!J58</f>
        <v>0</v>
      </c>
      <c r="K58" s="39">
        <f>'5. Hasil Prod Ikan'!K58*'6. Isi Harga Ikan'!K58</f>
        <v>0</v>
      </c>
      <c r="L58" s="39">
        <f>'5. Hasil Prod Ikan'!L58*'6. Isi Harga Ikan'!L58</f>
        <v>0</v>
      </c>
      <c r="M58" s="39">
        <f>'5. Hasil Prod Ikan'!M58*'6. Isi Harga Ikan'!M58</f>
        <v>0</v>
      </c>
      <c r="N58" s="39">
        <f>'5. Hasil Prod Ikan'!N58*'6. Isi Harga Ikan'!N58</f>
        <v>0</v>
      </c>
      <c r="O58" s="39">
        <f>'5. Hasil Prod Ikan'!O58*'6. Isi Harga Ikan'!O58</f>
        <v>0</v>
      </c>
      <c r="P58" s="39">
        <f>'5. Hasil Prod Ikan'!P58*'6. Isi Harga Ikan'!P58</f>
        <v>0</v>
      </c>
      <c r="Q58" s="38">
        <f t="shared" si="3"/>
        <v>0</v>
      </c>
    </row>
    <row r="59" spans="1:17" x14ac:dyDescent="0.2">
      <c r="A59" s="14" t="s">
        <v>31</v>
      </c>
      <c r="B59" s="14" t="s">
        <v>101</v>
      </c>
      <c r="C59" s="39">
        <f>'5. Hasil Prod Ikan'!C59*'6. Isi Harga Ikan'!C59</f>
        <v>0</v>
      </c>
      <c r="D59" s="39">
        <f>'5. Hasil Prod Ikan'!D59*'6. Isi Harga Ikan'!D59</f>
        <v>0</v>
      </c>
      <c r="E59" s="39">
        <f>'5. Hasil Prod Ikan'!E59*'6. Isi Harga Ikan'!E59</f>
        <v>0</v>
      </c>
      <c r="F59" s="39">
        <f>'5. Hasil Prod Ikan'!F59*'6. Isi Harga Ikan'!F59</f>
        <v>0</v>
      </c>
      <c r="G59" s="39">
        <f>'5. Hasil Prod Ikan'!G59*'6. Isi Harga Ikan'!G59</f>
        <v>0</v>
      </c>
      <c r="H59" s="39">
        <f>'5. Hasil Prod Ikan'!H59*'6. Isi Harga Ikan'!H59</f>
        <v>0</v>
      </c>
      <c r="I59" s="39">
        <f>'5. Hasil Prod Ikan'!I59*'6. Isi Harga Ikan'!I59</f>
        <v>0</v>
      </c>
      <c r="J59" s="39">
        <f>'5. Hasil Prod Ikan'!J59*'6. Isi Harga Ikan'!J59</f>
        <v>0</v>
      </c>
      <c r="K59" s="39">
        <f>'5. Hasil Prod Ikan'!K59*'6. Isi Harga Ikan'!K59</f>
        <v>0</v>
      </c>
      <c r="L59" s="39">
        <f>'5. Hasil Prod Ikan'!L59*'6. Isi Harga Ikan'!L59</f>
        <v>0</v>
      </c>
      <c r="M59" s="39">
        <f>'5. Hasil Prod Ikan'!M59*'6. Isi Harga Ikan'!M59</f>
        <v>0</v>
      </c>
      <c r="N59" s="39">
        <f>'5. Hasil Prod Ikan'!N59*'6. Isi Harga Ikan'!N59</f>
        <v>0</v>
      </c>
      <c r="O59" s="39">
        <f>'5. Hasil Prod Ikan'!O59*'6. Isi Harga Ikan'!O59</f>
        <v>0</v>
      </c>
      <c r="P59" s="39">
        <f>'5. Hasil Prod Ikan'!P59*'6. Isi Harga Ikan'!P59</f>
        <v>0</v>
      </c>
      <c r="Q59" s="38">
        <f t="shared" si="3"/>
        <v>0</v>
      </c>
    </row>
    <row r="60" spans="1:17" x14ac:dyDescent="0.2">
      <c r="A60" s="14" t="s">
        <v>31</v>
      </c>
      <c r="B60" s="14" t="s">
        <v>102</v>
      </c>
      <c r="C60" s="39">
        <f>'5. Hasil Prod Ikan'!C60*'6. Isi Harga Ikan'!C60</f>
        <v>0</v>
      </c>
      <c r="D60" s="39">
        <f>'5. Hasil Prod Ikan'!D60*'6. Isi Harga Ikan'!D60</f>
        <v>0</v>
      </c>
      <c r="E60" s="39">
        <f>'5. Hasil Prod Ikan'!E60*'6. Isi Harga Ikan'!E60</f>
        <v>0</v>
      </c>
      <c r="F60" s="39">
        <f>'5. Hasil Prod Ikan'!F60*'6. Isi Harga Ikan'!F60</f>
        <v>0</v>
      </c>
      <c r="G60" s="39">
        <f>'5. Hasil Prod Ikan'!G60*'6. Isi Harga Ikan'!G60</f>
        <v>0</v>
      </c>
      <c r="H60" s="39">
        <f>'5. Hasil Prod Ikan'!H60*'6. Isi Harga Ikan'!H60</f>
        <v>0</v>
      </c>
      <c r="I60" s="39">
        <f>'5. Hasil Prod Ikan'!I60*'6. Isi Harga Ikan'!I60</f>
        <v>0</v>
      </c>
      <c r="J60" s="39">
        <f>'5. Hasil Prod Ikan'!J60*'6. Isi Harga Ikan'!J60</f>
        <v>0</v>
      </c>
      <c r="K60" s="39">
        <f>'5. Hasil Prod Ikan'!K60*'6. Isi Harga Ikan'!K60</f>
        <v>0</v>
      </c>
      <c r="L60" s="39">
        <f>'5. Hasil Prod Ikan'!L60*'6. Isi Harga Ikan'!L60</f>
        <v>0</v>
      </c>
      <c r="M60" s="39">
        <f>'5. Hasil Prod Ikan'!M60*'6. Isi Harga Ikan'!M60</f>
        <v>0</v>
      </c>
      <c r="N60" s="39">
        <f>'5. Hasil Prod Ikan'!N60*'6. Isi Harga Ikan'!N60</f>
        <v>0</v>
      </c>
      <c r="O60" s="39">
        <f>'5. Hasil Prod Ikan'!O60*'6. Isi Harga Ikan'!O60</f>
        <v>0</v>
      </c>
      <c r="P60" s="39">
        <f>'5. Hasil Prod Ikan'!P60*'6. Isi Harga Ikan'!P60</f>
        <v>0</v>
      </c>
      <c r="Q60" s="38">
        <f t="shared" si="3"/>
        <v>0</v>
      </c>
    </row>
    <row r="61" spans="1:17" x14ac:dyDescent="0.2">
      <c r="A61" s="14" t="s">
        <v>31</v>
      </c>
      <c r="B61" s="14" t="s">
        <v>103</v>
      </c>
      <c r="C61" s="39">
        <f>'5. Hasil Prod Ikan'!C61*'6. Isi Harga Ikan'!C61</f>
        <v>0</v>
      </c>
      <c r="D61" s="39">
        <f>'5. Hasil Prod Ikan'!D61*'6. Isi Harga Ikan'!D61</f>
        <v>0</v>
      </c>
      <c r="E61" s="39">
        <f>'5. Hasil Prod Ikan'!E61*'6. Isi Harga Ikan'!E61</f>
        <v>0</v>
      </c>
      <c r="F61" s="39">
        <f>'5. Hasil Prod Ikan'!F61*'6. Isi Harga Ikan'!F61</f>
        <v>0</v>
      </c>
      <c r="G61" s="39">
        <f>'5. Hasil Prod Ikan'!G61*'6. Isi Harga Ikan'!G61</f>
        <v>0</v>
      </c>
      <c r="H61" s="39">
        <f>'5. Hasil Prod Ikan'!H61*'6. Isi Harga Ikan'!H61</f>
        <v>0</v>
      </c>
      <c r="I61" s="39">
        <f>'5. Hasil Prod Ikan'!I61*'6. Isi Harga Ikan'!I61</f>
        <v>0</v>
      </c>
      <c r="J61" s="39">
        <f>'5. Hasil Prod Ikan'!J61*'6. Isi Harga Ikan'!J61</f>
        <v>0</v>
      </c>
      <c r="K61" s="39">
        <f>'5. Hasil Prod Ikan'!K61*'6. Isi Harga Ikan'!K61</f>
        <v>0</v>
      </c>
      <c r="L61" s="39">
        <f>'5. Hasil Prod Ikan'!L61*'6. Isi Harga Ikan'!L61</f>
        <v>0</v>
      </c>
      <c r="M61" s="39">
        <f>'5. Hasil Prod Ikan'!M61*'6. Isi Harga Ikan'!M61</f>
        <v>0</v>
      </c>
      <c r="N61" s="39">
        <f>'5. Hasil Prod Ikan'!N61*'6. Isi Harga Ikan'!N61</f>
        <v>0</v>
      </c>
      <c r="O61" s="39">
        <f>'5. Hasil Prod Ikan'!O61*'6. Isi Harga Ikan'!O61</f>
        <v>0</v>
      </c>
      <c r="P61" s="39">
        <f>'5. Hasil Prod Ikan'!P61*'6. Isi Harga Ikan'!P61</f>
        <v>0</v>
      </c>
      <c r="Q61" s="38">
        <f t="shared" si="3"/>
        <v>0</v>
      </c>
    </row>
    <row r="62" spans="1:17" x14ac:dyDescent="0.2">
      <c r="A62" s="14" t="s">
        <v>31</v>
      </c>
      <c r="B62" s="14" t="s">
        <v>104</v>
      </c>
      <c r="C62" s="39">
        <f>'5. Hasil Prod Ikan'!C62*'6. Isi Harga Ikan'!C62</f>
        <v>0</v>
      </c>
      <c r="D62" s="39">
        <f>'5. Hasil Prod Ikan'!D62*'6. Isi Harga Ikan'!D62</f>
        <v>0</v>
      </c>
      <c r="E62" s="39">
        <f>'5. Hasil Prod Ikan'!E62*'6. Isi Harga Ikan'!E62</f>
        <v>0</v>
      </c>
      <c r="F62" s="39">
        <f>'5. Hasil Prod Ikan'!F62*'6. Isi Harga Ikan'!F62</f>
        <v>0</v>
      </c>
      <c r="G62" s="39">
        <f>'5. Hasil Prod Ikan'!G62*'6. Isi Harga Ikan'!G62</f>
        <v>0</v>
      </c>
      <c r="H62" s="39">
        <f>'5. Hasil Prod Ikan'!H62*'6. Isi Harga Ikan'!H62</f>
        <v>0</v>
      </c>
      <c r="I62" s="39">
        <f>'5. Hasil Prod Ikan'!I62*'6. Isi Harga Ikan'!I62</f>
        <v>0</v>
      </c>
      <c r="J62" s="39">
        <f>'5. Hasil Prod Ikan'!J62*'6. Isi Harga Ikan'!J62</f>
        <v>0</v>
      </c>
      <c r="K62" s="39">
        <f>'5. Hasil Prod Ikan'!K62*'6. Isi Harga Ikan'!K62</f>
        <v>0</v>
      </c>
      <c r="L62" s="39">
        <f>'5. Hasil Prod Ikan'!L62*'6. Isi Harga Ikan'!L62</f>
        <v>0</v>
      </c>
      <c r="M62" s="39">
        <f>'5. Hasil Prod Ikan'!M62*'6. Isi Harga Ikan'!M62</f>
        <v>0</v>
      </c>
      <c r="N62" s="39">
        <f>'5. Hasil Prod Ikan'!N62*'6. Isi Harga Ikan'!N62</f>
        <v>0</v>
      </c>
      <c r="O62" s="39">
        <f>'5. Hasil Prod Ikan'!O62*'6. Isi Harga Ikan'!O62</f>
        <v>0</v>
      </c>
      <c r="P62" s="39">
        <f>'5. Hasil Prod Ikan'!P62*'6. Isi Harga Ikan'!P62</f>
        <v>0</v>
      </c>
      <c r="Q62" s="38">
        <f t="shared" si="3"/>
        <v>0</v>
      </c>
    </row>
    <row r="63" spans="1:17" x14ac:dyDescent="0.2">
      <c r="A63" s="14" t="s">
        <v>31</v>
      </c>
      <c r="B63" s="14" t="s">
        <v>105</v>
      </c>
      <c r="C63" s="39">
        <f>'5. Hasil Prod Ikan'!C63*'6. Isi Harga Ikan'!C63</f>
        <v>0</v>
      </c>
      <c r="D63" s="39">
        <f>'5. Hasil Prod Ikan'!D63*'6. Isi Harga Ikan'!D63</f>
        <v>0</v>
      </c>
      <c r="E63" s="39">
        <f>'5. Hasil Prod Ikan'!E63*'6. Isi Harga Ikan'!E63</f>
        <v>0</v>
      </c>
      <c r="F63" s="39">
        <f>'5. Hasil Prod Ikan'!F63*'6. Isi Harga Ikan'!F63</f>
        <v>0</v>
      </c>
      <c r="G63" s="39">
        <f>'5. Hasil Prod Ikan'!G63*'6. Isi Harga Ikan'!G63</f>
        <v>0</v>
      </c>
      <c r="H63" s="39">
        <f>'5. Hasil Prod Ikan'!H63*'6. Isi Harga Ikan'!H63</f>
        <v>0</v>
      </c>
      <c r="I63" s="39">
        <f>'5. Hasil Prod Ikan'!I63*'6. Isi Harga Ikan'!I63</f>
        <v>0</v>
      </c>
      <c r="J63" s="39">
        <f>'5. Hasil Prod Ikan'!J63*'6. Isi Harga Ikan'!J63</f>
        <v>0</v>
      </c>
      <c r="K63" s="39">
        <f>'5. Hasil Prod Ikan'!K63*'6. Isi Harga Ikan'!K63</f>
        <v>0</v>
      </c>
      <c r="L63" s="39">
        <f>'5. Hasil Prod Ikan'!L63*'6. Isi Harga Ikan'!L63</f>
        <v>0</v>
      </c>
      <c r="M63" s="39">
        <f>'5. Hasil Prod Ikan'!M63*'6. Isi Harga Ikan'!M63</f>
        <v>0</v>
      </c>
      <c r="N63" s="39">
        <f>'5. Hasil Prod Ikan'!N63*'6. Isi Harga Ikan'!N63</f>
        <v>0</v>
      </c>
      <c r="O63" s="39">
        <f>'5. Hasil Prod Ikan'!O63*'6. Isi Harga Ikan'!O63</f>
        <v>0</v>
      </c>
      <c r="P63" s="39">
        <f>'5. Hasil Prod Ikan'!P63*'6. Isi Harga Ikan'!P63</f>
        <v>0</v>
      </c>
      <c r="Q63" s="38">
        <f t="shared" si="3"/>
        <v>0</v>
      </c>
    </row>
    <row r="64" spans="1:17" x14ac:dyDescent="0.2">
      <c r="A64" s="14" t="s">
        <v>31</v>
      </c>
      <c r="B64" s="14" t="s">
        <v>106</v>
      </c>
      <c r="C64" s="39">
        <f>'5. Hasil Prod Ikan'!C64*'6. Isi Harga Ikan'!C64</f>
        <v>0</v>
      </c>
      <c r="D64" s="39">
        <f>'5. Hasil Prod Ikan'!D64*'6. Isi Harga Ikan'!D64</f>
        <v>0</v>
      </c>
      <c r="E64" s="39">
        <f>'5. Hasil Prod Ikan'!E64*'6. Isi Harga Ikan'!E64</f>
        <v>0</v>
      </c>
      <c r="F64" s="39">
        <f>'5. Hasil Prod Ikan'!F64*'6. Isi Harga Ikan'!F64</f>
        <v>0</v>
      </c>
      <c r="G64" s="39">
        <f>'5. Hasil Prod Ikan'!G64*'6. Isi Harga Ikan'!G64</f>
        <v>0</v>
      </c>
      <c r="H64" s="39">
        <f>'5. Hasil Prod Ikan'!H64*'6. Isi Harga Ikan'!H64</f>
        <v>0</v>
      </c>
      <c r="I64" s="39">
        <f>'5. Hasil Prod Ikan'!I64*'6. Isi Harga Ikan'!I64</f>
        <v>0</v>
      </c>
      <c r="J64" s="39">
        <f>'5. Hasil Prod Ikan'!J64*'6. Isi Harga Ikan'!J64</f>
        <v>0</v>
      </c>
      <c r="K64" s="39">
        <f>'5. Hasil Prod Ikan'!K64*'6. Isi Harga Ikan'!K64</f>
        <v>0</v>
      </c>
      <c r="L64" s="39">
        <f>'5. Hasil Prod Ikan'!L64*'6. Isi Harga Ikan'!L64</f>
        <v>0</v>
      </c>
      <c r="M64" s="39">
        <f>'5. Hasil Prod Ikan'!M64*'6. Isi Harga Ikan'!M64</f>
        <v>0</v>
      </c>
      <c r="N64" s="39">
        <f>'5. Hasil Prod Ikan'!N64*'6. Isi Harga Ikan'!N64</f>
        <v>0</v>
      </c>
      <c r="O64" s="39">
        <f>'5. Hasil Prod Ikan'!O64*'6. Isi Harga Ikan'!O64</f>
        <v>0</v>
      </c>
      <c r="P64" s="39">
        <f>'5. Hasil Prod Ikan'!P64*'6. Isi Harga Ikan'!P64</f>
        <v>0</v>
      </c>
      <c r="Q64" s="38">
        <f t="shared" si="3"/>
        <v>0</v>
      </c>
    </row>
    <row r="65" spans="1:17" x14ac:dyDescent="0.2">
      <c r="A65" s="14" t="s">
        <v>31</v>
      </c>
      <c r="B65" s="14" t="s">
        <v>107</v>
      </c>
      <c r="C65" s="39">
        <f>'5. Hasil Prod Ikan'!C65*'6. Isi Harga Ikan'!C65</f>
        <v>0</v>
      </c>
      <c r="D65" s="39">
        <f>'5. Hasil Prod Ikan'!D65*'6. Isi Harga Ikan'!D65</f>
        <v>0</v>
      </c>
      <c r="E65" s="39">
        <f>'5. Hasil Prod Ikan'!E65*'6. Isi Harga Ikan'!E65</f>
        <v>0</v>
      </c>
      <c r="F65" s="39">
        <f>'5. Hasil Prod Ikan'!F65*'6. Isi Harga Ikan'!F65</f>
        <v>0</v>
      </c>
      <c r="G65" s="39">
        <f>'5. Hasil Prod Ikan'!G65*'6. Isi Harga Ikan'!G65</f>
        <v>0</v>
      </c>
      <c r="H65" s="39">
        <f>'5. Hasil Prod Ikan'!H65*'6. Isi Harga Ikan'!H65</f>
        <v>0</v>
      </c>
      <c r="I65" s="39">
        <f>'5. Hasil Prod Ikan'!I65*'6. Isi Harga Ikan'!I65</f>
        <v>0</v>
      </c>
      <c r="J65" s="39">
        <f>'5. Hasil Prod Ikan'!J65*'6. Isi Harga Ikan'!J65</f>
        <v>0</v>
      </c>
      <c r="K65" s="39">
        <f>'5. Hasil Prod Ikan'!K65*'6. Isi Harga Ikan'!K65</f>
        <v>0</v>
      </c>
      <c r="L65" s="39">
        <f>'5. Hasil Prod Ikan'!L65*'6. Isi Harga Ikan'!L65</f>
        <v>0</v>
      </c>
      <c r="M65" s="39">
        <f>'5. Hasil Prod Ikan'!M65*'6. Isi Harga Ikan'!M65</f>
        <v>0</v>
      </c>
      <c r="N65" s="39">
        <f>'5. Hasil Prod Ikan'!N65*'6. Isi Harga Ikan'!N65</f>
        <v>0</v>
      </c>
      <c r="O65" s="39">
        <f>'5. Hasil Prod Ikan'!O65*'6. Isi Harga Ikan'!O65</f>
        <v>0</v>
      </c>
      <c r="P65" s="39">
        <f>'5. Hasil Prod Ikan'!P65*'6. Isi Harga Ikan'!P65</f>
        <v>0</v>
      </c>
      <c r="Q65" s="38">
        <f t="shared" si="3"/>
        <v>0</v>
      </c>
    </row>
    <row r="66" spans="1:17" x14ac:dyDescent="0.2">
      <c r="A66" s="14" t="s">
        <v>31</v>
      </c>
      <c r="B66" s="14" t="s">
        <v>108</v>
      </c>
      <c r="C66" s="39">
        <f>'5. Hasil Prod Ikan'!C66*'6. Isi Harga Ikan'!C66</f>
        <v>0</v>
      </c>
      <c r="D66" s="39">
        <f>'5. Hasil Prod Ikan'!D66*'6. Isi Harga Ikan'!D66</f>
        <v>0</v>
      </c>
      <c r="E66" s="39">
        <f>'5. Hasil Prod Ikan'!E66*'6. Isi Harga Ikan'!E66</f>
        <v>0</v>
      </c>
      <c r="F66" s="39">
        <f>'5. Hasil Prod Ikan'!F66*'6. Isi Harga Ikan'!F66</f>
        <v>0</v>
      </c>
      <c r="G66" s="39">
        <f>'5. Hasil Prod Ikan'!G66*'6. Isi Harga Ikan'!G66</f>
        <v>0</v>
      </c>
      <c r="H66" s="39">
        <f>'5. Hasil Prod Ikan'!H66*'6. Isi Harga Ikan'!H66</f>
        <v>0</v>
      </c>
      <c r="I66" s="39">
        <f>'5. Hasil Prod Ikan'!I66*'6. Isi Harga Ikan'!I66</f>
        <v>0</v>
      </c>
      <c r="J66" s="39">
        <f>'5. Hasil Prod Ikan'!J66*'6. Isi Harga Ikan'!J66</f>
        <v>0</v>
      </c>
      <c r="K66" s="39">
        <f>'5. Hasil Prod Ikan'!K66*'6. Isi Harga Ikan'!K66</f>
        <v>0</v>
      </c>
      <c r="L66" s="39">
        <f>'5. Hasil Prod Ikan'!L66*'6. Isi Harga Ikan'!L66</f>
        <v>0</v>
      </c>
      <c r="M66" s="39">
        <f>'5. Hasil Prod Ikan'!M66*'6. Isi Harga Ikan'!M66</f>
        <v>0</v>
      </c>
      <c r="N66" s="39">
        <f>'5. Hasil Prod Ikan'!N66*'6. Isi Harga Ikan'!N66</f>
        <v>0</v>
      </c>
      <c r="O66" s="39">
        <f>'5. Hasil Prod Ikan'!O66*'6. Isi Harga Ikan'!O66</f>
        <v>0</v>
      </c>
      <c r="P66" s="39">
        <f>'5. Hasil Prod Ikan'!P66*'6. Isi Harga Ikan'!P66</f>
        <v>0</v>
      </c>
      <c r="Q66" s="38">
        <f t="shared" si="3"/>
        <v>0</v>
      </c>
    </row>
    <row r="67" spans="1:17" x14ac:dyDescent="0.2">
      <c r="A67" s="14" t="s">
        <v>31</v>
      </c>
      <c r="B67" s="14" t="s">
        <v>109</v>
      </c>
      <c r="C67" s="39">
        <f>'5. Hasil Prod Ikan'!C67*'6. Isi Harga Ikan'!C67</f>
        <v>0</v>
      </c>
      <c r="D67" s="39">
        <f>'5. Hasil Prod Ikan'!D67*'6. Isi Harga Ikan'!D67</f>
        <v>0</v>
      </c>
      <c r="E67" s="39">
        <f>'5. Hasil Prod Ikan'!E67*'6. Isi Harga Ikan'!E67</f>
        <v>0</v>
      </c>
      <c r="F67" s="39">
        <f>'5. Hasil Prod Ikan'!F67*'6. Isi Harga Ikan'!F67</f>
        <v>0</v>
      </c>
      <c r="G67" s="39">
        <f>'5. Hasil Prod Ikan'!G67*'6. Isi Harga Ikan'!G67</f>
        <v>0</v>
      </c>
      <c r="H67" s="39">
        <f>'5. Hasil Prod Ikan'!H67*'6. Isi Harga Ikan'!H67</f>
        <v>0</v>
      </c>
      <c r="I67" s="39">
        <f>'5. Hasil Prod Ikan'!I67*'6. Isi Harga Ikan'!I67</f>
        <v>0</v>
      </c>
      <c r="J67" s="39">
        <f>'5. Hasil Prod Ikan'!J67*'6. Isi Harga Ikan'!J67</f>
        <v>0</v>
      </c>
      <c r="K67" s="39">
        <f>'5. Hasil Prod Ikan'!K67*'6. Isi Harga Ikan'!K67</f>
        <v>0</v>
      </c>
      <c r="L67" s="39">
        <f>'5. Hasil Prod Ikan'!L67*'6. Isi Harga Ikan'!L67</f>
        <v>0</v>
      </c>
      <c r="M67" s="39">
        <f>'5. Hasil Prod Ikan'!M67*'6. Isi Harga Ikan'!M67</f>
        <v>0</v>
      </c>
      <c r="N67" s="39">
        <f>'5. Hasil Prod Ikan'!N67*'6. Isi Harga Ikan'!N67</f>
        <v>0</v>
      </c>
      <c r="O67" s="39">
        <f>'5. Hasil Prod Ikan'!O67*'6. Isi Harga Ikan'!O67</f>
        <v>0</v>
      </c>
      <c r="P67" s="39">
        <f>'5. Hasil Prod Ikan'!P67*'6. Isi Harga Ikan'!P67</f>
        <v>0</v>
      </c>
      <c r="Q67" s="38">
        <f t="shared" si="3"/>
        <v>0</v>
      </c>
    </row>
    <row r="68" spans="1:17" x14ac:dyDescent="0.2">
      <c r="A68" s="14" t="s">
        <v>31</v>
      </c>
      <c r="B68" s="14" t="s">
        <v>110</v>
      </c>
      <c r="C68" s="39">
        <f>'5. Hasil Prod Ikan'!C68*'6. Isi Harga Ikan'!C68</f>
        <v>0</v>
      </c>
      <c r="D68" s="39">
        <f>'5. Hasil Prod Ikan'!D68*'6. Isi Harga Ikan'!D68</f>
        <v>0</v>
      </c>
      <c r="E68" s="39">
        <f>'5. Hasil Prod Ikan'!E68*'6. Isi Harga Ikan'!E68</f>
        <v>0</v>
      </c>
      <c r="F68" s="39">
        <f>'5. Hasil Prod Ikan'!F68*'6. Isi Harga Ikan'!F68</f>
        <v>0</v>
      </c>
      <c r="G68" s="39">
        <f>'5. Hasil Prod Ikan'!G68*'6. Isi Harga Ikan'!G68</f>
        <v>0</v>
      </c>
      <c r="H68" s="39">
        <f>'5. Hasil Prod Ikan'!H68*'6. Isi Harga Ikan'!H68</f>
        <v>0</v>
      </c>
      <c r="I68" s="39">
        <f>'5. Hasil Prod Ikan'!I68*'6. Isi Harga Ikan'!I68</f>
        <v>0</v>
      </c>
      <c r="J68" s="39">
        <f>'5. Hasil Prod Ikan'!J68*'6. Isi Harga Ikan'!J68</f>
        <v>0</v>
      </c>
      <c r="K68" s="39">
        <f>'5. Hasil Prod Ikan'!K68*'6. Isi Harga Ikan'!K68</f>
        <v>0</v>
      </c>
      <c r="L68" s="39">
        <f>'5. Hasil Prod Ikan'!L68*'6. Isi Harga Ikan'!L68</f>
        <v>0</v>
      </c>
      <c r="M68" s="39">
        <f>'5. Hasil Prod Ikan'!M68*'6. Isi Harga Ikan'!M68</f>
        <v>0</v>
      </c>
      <c r="N68" s="39">
        <f>'5. Hasil Prod Ikan'!N68*'6. Isi Harga Ikan'!N68</f>
        <v>0</v>
      </c>
      <c r="O68" s="39">
        <f>'5. Hasil Prod Ikan'!O68*'6. Isi Harga Ikan'!O68</f>
        <v>0</v>
      </c>
      <c r="P68" s="39">
        <f>'5. Hasil Prod Ikan'!P68*'6. Isi Harga Ikan'!P68</f>
        <v>0</v>
      </c>
      <c r="Q68" s="38">
        <f t="shared" si="3"/>
        <v>0</v>
      </c>
    </row>
    <row r="69" spans="1:17" x14ac:dyDescent="0.2">
      <c r="A69" s="14" t="s">
        <v>31</v>
      </c>
      <c r="B69" s="14" t="s">
        <v>111</v>
      </c>
      <c r="C69" s="39">
        <f>'5. Hasil Prod Ikan'!C69*'6. Isi Harga Ikan'!C69</f>
        <v>0</v>
      </c>
      <c r="D69" s="39">
        <f>'5. Hasil Prod Ikan'!D69*'6. Isi Harga Ikan'!D69</f>
        <v>0</v>
      </c>
      <c r="E69" s="39">
        <f>'5. Hasil Prod Ikan'!E69*'6. Isi Harga Ikan'!E69</f>
        <v>0</v>
      </c>
      <c r="F69" s="39">
        <f>'5. Hasil Prod Ikan'!F69*'6. Isi Harga Ikan'!F69</f>
        <v>0</v>
      </c>
      <c r="G69" s="39">
        <f>'5. Hasil Prod Ikan'!G69*'6. Isi Harga Ikan'!G69</f>
        <v>0</v>
      </c>
      <c r="H69" s="39">
        <f>'5. Hasil Prod Ikan'!H69*'6. Isi Harga Ikan'!H69</f>
        <v>0</v>
      </c>
      <c r="I69" s="39">
        <f>'5. Hasil Prod Ikan'!I69*'6. Isi Harga Ikan'!I69</f>
        <v>0</v>
      </c>
      <c r="J69" s="39">
        <f>'5. Hasil Prod Ikan'!J69*'6. Isi Harga Ikan'!J69</f>
        <v>0</v>
      </c>
      <c r="K69" s="39">
        <f>'5. Hasil Prod Ikan'!K69*'6. Isi Harga Ikan'!K69</f>
        <v>0</v>
      </c>
      <c r="L69" s="39">
        <f>'5. Hasil Prod Ikan'!L69*'6. Isi Harga Ikan'!L69</f>
        <v>0</v>
      </c>
      <c r="M69" s="39">
        <f>'5. Hasil Prod Ikan'!M69*'6. Isi Harga Ikan'!M69</f>
        <v>0</v>
      </c>
      <c r="N69" s="39">
        <f>'5. Hasil Prod Ikan'!N69*'6. Isi Harga Ikan'!N69</f>
        <v>0</v>
      </c>
      <c r="O69" s="39">
        <f>'5. Hasil Prod Ikan'!O69*'6. Isi Harga Ikan'!O69</f>
        <v>0</v>
      </c>
      <c r="P69" s="39">
        <f>'5. Hasil Prod Ikan'!P69*'6. Isi Harga Ikan'!P69</f>
        <v>0</v>
      </c>
      <c r="Q69" s="38">
        <f t="shared" si="3"/>
        <v>0</v>
      </c>
    </row>
    <row r="70" spans="1:17" x14ac:dyDescent="0.2">
      <c r="A70" s="14" t="s">
        <v>31</v>
      </c>
      <c r="B70" s="14" t="s">
        <v>112</v>
      </c>
      <c r="C70" s="39">
        <f>'5. Hasil Prod Ikan'!C70*'6. Isi Harga Ikan'!C70</f>
        <v>0</v>
      </c>
      <c r="D70" s="39">
        <f>'5. Hasil Prod Ikan'!D70*'6. Isi Harga Ikan'!D70</f>
        <v>0</v>
      </c>
      <c r="E70" s="39">
        <f>'5. Hasil Prod Ikan'!E70*'6. Isi Harga Ikan'!E70</f>
        <v>0</v>
      </c>
      <c r="F70" s="39">
        <f>'5. Hasil Prod Ikan'!F70*'6. Isi Harga Ikan'!F70</f>
        <v>0</v>
      </c>
      <c r="G70" s="39">
        <f>'5. Hasil Prod Ikan'!G70*'6. Isi Harga Ikan'!G70</f>
        <v>0</v>
      </c>
      <c r="H70" s="39">
        <f>'5. Hasil Prod Ikan'!H70*'6. Isi Harga Ikan'!H70</f>
        <v>0</v>
      </c>
      <c r="I70" s="39">
        <f>'5. Hasil Prod Ikan'!I70*'6. Isi Harga Ikan'!I70</f>
        <v>0</v>
      </c>
      <c r="J70" s="39">
        <f>'5. Hasil Prod Ikan'!J70*'6. Isi Harga Ikan'!J70</f>
        <v>0</v>
      </c>
      <c r="K70" s="39">
        <f>'5. Hasil Prod Ikan'!K70*'6. Isi Harga Ikan'!K70</f>
        <v>0</v>
      </c>
      <c r="L70" s="39">
        <f>'5. Hasil Prod Ikan'!L70*'6. Isi Harga Ikan'!L70</f>
        <v>0</v>
      </c>
      <c r="M70" s="39">
        <f>'5. Hasil Prod Ikan'!M70*'6. Isi Harga Ikan'!M70</f>
        <v>0</v>
      </c>
      <c r="N70" s="39">
        <f>'5. Hasil Prod Ikan'!N70*'6. Isi Harga Ikan'!N70</f>
        <v>0</v>
      </c>
      <c r="O70" s="39">
        <f>'5. Hasil Prod Ikan'!O70*'6. Isi Harga Ikan'!O70</f>
        <v>0</v>
      </c>
      <c r="P70" s="39">
        <f>'5. Hasil Prod Ikan'!P70*'6. Isi Harga Ikan'!P70</f>
        <v>0</v>
      </c>
      <c r="Q70" s="38">
        <f t="shared" si="3"/>
        <v>0</v>
      </c>
    </row>
    <row r="71" spans="1:17" x14ac:dyDescent="0.2">
      <c r="A71" s="14" t="s">
        <v>31</v>
      </c>
      <c r="B71" s="14" t="s">
        <v>113</v>
      </c>
      <c r="C71" s="39">
        <f>'5. Hasil Prod Ikan'!C71*'6. Isi Harga Ikan'!C71</f>
        <v>0</v>
      </c>
      <c r="D71" s="39">
        <f>'5. Hasil Prod Ikan'!D71*'6. Isi Harga Ikan'!D71</f>
        <v>0</v>
      </c>
      <c r="E71" s="39">
        <f>'5. Hasil Prod Ikan'!E71*'6. Isi Harga Ikan'!E71</f>
        <v>0</v>
      </c>
      <c r="F71" s="39">
        <f>'5. Hasil Prod Ikan'!F71*'6. Isi Harga Ikan'!F71</f>
        <v>0</v>
      </c>
      <c r="G71" s="39">
        <f>'5. Hasil Prod Ikan'!G71*'6. Isi Harga Ikan'!G71</f>
        <v>0</v>
      </c>
      <c r="H71" s="39">
        <f>'5. Hasil Prod Ikan'!H71*'6. Isi Harga Ikan'!H71</f>
        <v>0</v>
      </c>
      <c r="I71" s="39">
        <f>'5. Hasil Prod Ikan'!I71*'6. Isi Harga Ikan'!I71</f>
        <v>0</v>
      </c>
      <c r="J71" s="39">
        <f>'5. Hasil Prod Ikan'!J71*'6. Isi Harga Ikan'!J71</f>
        <v>0</v>
      </c>
      <c r="K71" s="39">
        <f>'5. Hasil Prod Ikan'!K71*'6. Isi Harga Ikan'!K71</f>
        <v>0</v>
      </c>
      <c r="L71" s="39">
        <f>'5. Hasil Prod Ikan'!L71*'6. Isi Harga Ikan'!L71</f>
        <v>0</v>
      </c>
      <c r="M71" s="39">
        <f>'5. Hasil Prod Ikan'!M71*'6. Isi Harga Ikan'!M71</f>
        <v>0</v>
      </c>
      <c r="N71" s="39">
        <f>'5. Hasil Prod Ikan'!N71*'6. Isi Harga Ikan'!N71</f>
        <v>0</v>
      </c>
      <c r="O71" s="39">
        <f>'5. Hasil Prod Ikan'!O71*'6. Isi Harga Ikan'!O71</f>
        <v>0</v>
      </c>
      <c r="P71" s="39">
        <f>'5. Hasil Prod Ikan'!P71*'6. Isi Harga Ikan'!P71</f>
        <v>0</v>
      </c>
      <c r="Q71" s="38">
        <f t="shared" si="3"/>
        <v>0</v>
      </c>
    </row>
    <row r="72" spans="1:17" x14ac:dyDescent="0.2">
      <c r="A72" s="14" t="s">
        <v>31</v>
      </c>
      <c r="B72" s="14" t="s">
        <v>114</v>
      </c>
      <c r="C72" s="39">
        <f>'5. Hasil Prod Ikan'!C72*'6. Isi Harga Ikan'!C72</f>
        <v>0</v>
      </c>
      <c r="D72" s="39">
        <f>'5. Hasil Prod Ikan'!D72*'6. Isi Harga Ikan'!D72</f>
        <v>0</v>
      </c>
      <c r="E72" s="39">
        <f>'5. Hasil Prod Ikan'!E72*'6. Isi Harga Ikan'!E72</f>
        <v>0</v>
      </c>
      <c r="F72" s="39">
        <f>'5. Hasil Prod Ikan'!F72*'6. Isi Harga Ikan'!F72</f>
        <v>0</v>
      </c>
      <c r="G72" s="39">
        <f>'5. Hasil Prod Ikan'!G72*'6. Isi Harga Ikan'!G72</f>
        <v>0</v>
      </c>
      <c r="H72" s="39">
        <f>'5. Hasil Prod Ikan'!H72*'6. Isi Harga Ikan'!H72</f>
        <v>0</v>
      </c>
      <c r="I72" s="39">
        <f>'5. Hasil Prod Ikan'!I72*'6. Isi Harga Ikan'!I72</f>
        <v>0</v>
      </c>
      <c r="J72" s="39">
        <f>'5. Hasil Prod Ikan'!J72*'6. Isi Harga Ikan'!J72</f>
        <v>0</v>
      </c>
      <c r="K72" s="39">
        <f>'5. Hasil Prod Ikan'!K72*'6. Isi Harga Ikan'!K72</f>
        <v>0</v>
      </c>
      <c r="L72" s="39">
        <f>'5. Hasil Prod Ikan'!L72*'6. Isi Harga Ikan'!L72</f>
        <v>0</v>
      </c>
      <c r="M72" s="39">
        <f>'5. Hasil Prod Ikan'!M72*'6. Isi Harga Ikan'!M72</f>
        <v>0</v>
      </c>
      <c r="N72" s="39">
        <f>'5. Hasil Prod Ikan'!N72*'6. Isi Harga Ikan'!N72</f>
        <v>0</v>
      </c>
      <c r="O72" s="39">
        <f>'5. Hasil Prod Ikan'!O72*'6. Isi Harga Ikan'!O72</f>
        <v>0</v>
      </c>
      <c r="P72" s="39">
        <f>'5. Hasil Prod Ikan'!P72*'6. Isi Harga Ikan'!P72</f>
        <v>0</v>
      </c>
      <c r="Q72" s="38">
        <f t="shared" si="3"/>
        <v>0</v>
      </c>
    </row>
    <row r="73" spans="1:17" x14ac:dyDescent="0.2">
      <c r="A73" s="14" t="s">
        <v>31</v>
      </c>
      <c r="B73" s="14" t="s">
        <v>115</v>
      </c>
      <c r="C73" s="39">
        <f>'5. Hasil Prod Ikan'!C73*'6. Isi Harga Ikan'!C73</f>
        <v>0</v>
      </c>
      <c r="D73" s="39">
        <f>'5. Hasil Prod Ikan'!D73*'6. Isi Harga Ikan'!D73</f>
        <v>0</v>
      </c>
      <c r="E73" s="39">
        <f>'5. Hasil Prod Ikan'!E73*'6. Isi Harga Ikan'!E73</f>
        <v>0</v>
      </c>
      <c r="F73" s="39">
        <f>'5. Hasil Prod Ikan'!F73*'6. Isi Harga Ikan'!F73</f>
        <v>0</v>
      </c>
      <c r="G73" s="39">
        <f>'5. Hasil Prod Ikan'!G73*'6. Isi Harga Ikan'!G73</f>
        <v>0</v>
      </c>
      <c r="H73" s="39">
        <f>'5. Hasil Prod Ikan'!H73*'6. Isi Harga Ikan'!H73</f>
        <v>0</v>
      </c>
      <c r="I73" s="39">
        <f>'5. Hasil Prod Ikan'!I73*'6. Isi Harga Ikan'!I73</f>
        <v>0</v>
      </c>
      <c r="J73" s="39">
        <f>'5. Hasil Prod Ikan'!J73*'6. Isi Harga Ikan'!J73</f>
        <v>0</v>
      </c>
      <c r="K73" s="39">
        <f>'5. Hasil Prod Ikan'!K73*'6. Isi Harga Ikan'!K73</f>
        <v>0</v>
      </c>
      <c r="L73" s="39">
        <f>'5. Hasil Prod Ikan'!L73*'6. Isi Harga Ikan'!L73</f>
        <v>0</v>
      </c>
      <c r="M73" s="39">
        <f>'5. Hasil Prod Ikan'!M73*'6. Isi Harga Ikan'!M73</f>
        <v>0</v>
      </c>
      <c r="N73" s="39">
        <f>'5. Hasil Prod Ikan'!N73*'6. Isi Harga Ikan'!N73</f>
        <v>0</v>
      </c>
      <c r="O73" s="39">
        <f>'5. Hasil Prod Ikan'!O73*'6. Isi Harga Ikan'!O73</f>
        <v>0</v>
      </c>
      <c r="P73" s="39">
        <f>'5. Hasil Prod Ikan'!P73*'6. Isi Harga Ikan'!P73</f>
        <v>0</v>
      </c>
      <c r="Q73" s="38">
        <f t="shared" ref="Q73:Q87" si="4">SUM(C73:P73)</f>
        <v>0</v>
      </c>
    </row>
    <row r="74" spans="1:17" x14ac:dyDescent="0.2">
      <c r="A74" s="14" t="s">
        <v>31</v>
      </c>
      <c r="B74" s="14" t="s">
        <v>116</v>
      </c>
      <c r="C74" s="39">
        <f>'5. Hasil Prod Ikan'!C74*'6. Isi Harga Ikan'!C74</f>
        <v>0</v>
      </c>
      <c r="D74" s="39">
        <f>'5. Hasil Prod Ikan'!D74*'6. Isi Harga Ikan'!D74</f>
        <v>0</v>
      </c>
      <c r="E74" s="39">
        <f>'5. Hasil Prod Ikan'!E74*'6. Isi Harga Ikan'!E74</f>
        <v>0</v>
      </c>
      <c r="F74" s="39">
        <f>'5. Hasil Prod Ikan'!F74*'6. Isi Harga Ikan'!F74</f>
        <v>0</v>
      </c>
      <c r="G74" s="39">
        <f>'5. Hasil Prod Ikan'!G74*'6. Isi Harga Ikan'!G74</f>
        <v>0</v>
      </c>
      <c r="H74" s="39">
        <f>'5. Hasil Prod Ikan'!H74*'6. Isi Harga Ikan'!H74</f>
        <v>0</v>
      </c>
      <c r="I74" s="39">
        <f>'5. Hasil Prod Ikan'!I74*'6. Isi Harga Ikan'!I74</f>
        <v>0</v>
      </c>
      <c r="J74" s="39">
        <f>'5. Hasil Prod Ikan'!J74*'6. Isi Harga Ikan'!J74</f>
        <v>0</v>
      </c>
      <c r="K74" s="39">
        <f>'5. Hasil Prod Ikan'!K74*'6. Isi Harga Ikan'!K74</f>
        <v>0</v>
      </c>
      <c r="L74" s="39">
        <f>'5. Hasil Prod Ikan'!L74*'6. Isi Harga Ikan'!L74</f>
        <v>0</v>
      </c>
      <c r="M74" s="39">
        <f>'5. Hasil Prod Ikan'!M74*'6. Isi Harga Ikan'!M74</f>
        <v>0</v>
      </c>
      <c r="N74" s="39">
        <f>'5. Hasil Prod Ikan'!N74*'6. Isi Harga Ikan'!N74</f>
        <v>0</v>
      </c>
      <c r="O74" s="39">
        <f>'5. Hasil Prod Ikan'!O74*'6. Isi Harga Ikan'!O74</f>
        <v>0</v>
      </c>
      <c r="P74" s="39">
        <f>'5. Hasil Prod Ikan'!P74*'6. Isi Harga Ikan'!P74</f>
        <v>0</v>
      </c>
      <c r="Q74" s="38">
        <f t="shared" si="4"/>
        <v>0</v>
      </c>
    </row>
    <row r="75" spans="1:17" x14ac:dyDescent="0.2">
      <c r="A75" s="14" t="s">
        <v>31</v>
      </c>
      <c r="B75" s="14" t="s">
        <v>117</v>
      </c>
      <c r="C75" s="39">
        <f>'5. Hasil Prod Ikan'!C75*'6. Isi Harga Ikan'!C75</f>
        <v>0</v>
      </c>
      <c r="D75" s="39">
        <f>'5. Hasil Prod Ikan'!D75*'6. Isi Harga Ikan'!D75</f>
        <v>0</v>
      </c>
      <c r="E75" s="39">
        <f>'5. Hasil Prod Ikan'!E75*'6. Isi Harga Ikan'!E75</f>
        <v>0</v>
      </c>
      <c r="F75" s="39">
        <f>'5. Hasil Prod Ikan'!F75*'6. Isi Harga Ikan'!F75</f>
        <v>0</v>
      </c>
      <c r="G75" s="39">
        <f>'5. Hasil Prod Ikan'!G75*'6. Isi Harga Ikan'!G75</f>
        <v>0</v>
      </c>
      <c r="H75" s="39">
        <f>'5. Hasil Prod Ikan'!H75*'6. Isi Harga Ikan'!H75</f>
        <v>0</v>
      </c>
      <c r="I75" s="39">
        <f>'5. Hasil Prod Ikan'!I75*'6. Isi Harga Ikan'!I75</f>
        <v>0</v>
      </c>
      <c r="J75" s="39">
        <f>'5. Hasil Prod Ikan'!J75*'6. Isi Harga Ikan'!J75</f>
        <v>0</v>
      </c>
      <c r="K75" s="39">
        <f>'5. Hasil Prod Ikan'!K75*'6. Isi Harga Ikan'!K75</f>
        <v>0</v>
      </c>
      <c r="L75" s="39">
        <f>'5. Hasil Prod Ikan'!L75*'6. Isi Harga Ikan'!L75</f>
        <v>0</v>
      </c>
      <c r="M75" s="39">
        <f>'5. Hasil Prod Ikan'!M75*'6. Isi Harga Ikan'!M75</f>
        <v>0</v>
      </c>
      <c r="N75" s="39">
        <f>'5. Hasil Prod Ikan'!N75*'6. Isi Harga Ikan'!N75</f>
        <v>0</v>
      </c>
      <c r="O75" s="39">
        <f>'5. Hasil Prod Ikan'!O75*'6. Isi Harga Ikan'!O75</f>
        <v>0</v>
      </c>
      <c r="P75" s="39">
        <f>'5. Hasil Prod Ikan'!P75*'6. Isi Harga Ikan'!P75</f>
        <v>0</v>
      </c>
      <c r="Q75" s="38">
        <f t="shared" si="4"/>
        <v>0</v>
      </c>
    </row>
    <row r="76" spans="1:17" x14ac:dyDescent="0.2">
      <c r="A76" s="14" t="s">
        <v>31</v>
      </c>
      <c r="B76" s="14" t="s">
        <v>118</v>
      </c>
      <c r="C76" s="39">
        <f>'5. Hasil Prod Ikan'!C76*'6. Isi Harga Ikan'!C76</f>
        <v>0</v>
      </c>
      <c r="D76" s="39">
        <f>'5. Hasil Prod Ikan'!D76*'6. Isi Harga Ikan'!D76</f>
        <v>0</v>
      </c>
      <c r="E76" s="39">
        <f>'5. Hasil Prod Ikan'!E76*'6. Isi Harga Ikan'!E76</f>
        <v>0</v>
      </c>
      <c r="F76" s="39">
        <f>'5. Hasil Prod Ikan'!F76*'6. Isi Harga Ikan'!F76</f>
        <v>0</v>
      </c>
      <c r="G76" s="39">
        <f>'5. Hasil Prod Ikan'!G76*'6. Isi Harga Ikan'!G76</f>
        <v>0</v>
      </c>
      <c r="H76" s="39">
        <f>'5. Hasil Prod Ikan'!H76*'6. Isi Harga Ikan'!H76</f>
        <v>0</v>
      </c>
      <c r="I76" s="39">
        <f>'5. Hasil Prod Ikan'!I76*'6. Isi Harga Ikan'!I76</f>
        <v>0</v>
      </c>
      <c r="J76" s="39">
        <f>'5. Hasil Prod Ikan'!J76*'6. Isi Harga Ikan'!J76</f>
        <v>0</v>
      </c>
      <c r="K76" s="39">
        <f>'5. Hasil Prod Ikan'!K76*'6. Isi Harga Ikan'!K76</f>
        <v>0</v>
      </c>
      <c r="L76" s="39">
        <f>'5. Hasil Prod Ikan'!L76*'6. Isi Harga Ikan'!L76</f>
        <v>0</v>
      </c>
      <c r="M76" s="39">
        <f>'5. Hasil Prod Ikan'!M76*'6. Isi Harga Ikan'!M76</f>
        <v>0</v>
      </c>
      <c r="N76" s="39">
        <f>'5. Hasil Prod Ikan'!N76*'6. Isi Harga Ikan'!N76</f>
        <v>0</v>
      </c>
      <c r="O76" s="39">
        <f>'5. Hasil Prod Ikan'!O76*'6. Isi Harga Ikan'!O76</f>
        <v>0</v>
      </c>
      <c r="P76" s="39">
        <f>'5. Hasil Prod Ikan'!P76*'6. Isi Harga Ikan'!P76</f>
        <v>0</v>
      </c>
      <c r="Q76" s="38">
        <f t="shared" si="4"/>
        <v>0</v>
      </c>
    </row>
    <row r="77" spans="1:17" x14ac:dyDescent="0.2">
      <c r="A77" s="14" t="s">
        <v>31</v>
      </c>
      <c r="B77" s="14" t="s">
        <v>119</v>
      </c>
      <c r="C77" s="39">
        <f>'5. Hasil Prod Ikan'!C77*'6. Isi Harga Ikan'!C77</f>
        <v>0</v>
      </c>
      <c r="D77" s="39">
        <f>'5. Hasil Prod Ikan'!D77*'6. Isi Harga Ikan'!D77</f>
        <v>0</v>
      </c>
      <c r="E77" s="39">
        <f>'5. Hasil Prod Ikan'!E77*'6. Isi Harga Ikan'!E77</f>
        <v>0</v>
      </c>
      <c r="F77" s="39">
        <f>'5. Hasil Prod Ikan'!F77*'6. Isi Harga Ikan'!F77</f>
        <v>0</v>
      </c>
      <c r="G77" s="39">
        <f>'5. Hasil Prod Ikan'!G77*'6. Isi Harga Ikan'!G77</f>
        <v>0</v>
      </c>
      <c r="H77" s="39">
        <f>'5. Hasil Prod Ikan'!H77*'6. Isi Harga Ikan'!H77</f>
        <v>0</v>
      </c>
      <c r="I77" s="39">
        <f>'5. Hasil Prod Ikan'!I77*'6. Isi Harga Ikan'!I77</f>
        <v>0</v>
      </c>
      <c r="J77" s="39">
        <f>'5. Hasil Prod Ikan'!J77*'6. Isi Harga Ikan'!J77</f>
        <v>0</v>
      </c>
      <c r="K77" s="39">
        <f>'5. Hasil Prod Ikan'!K77*'6. Isi Harga Ikan'!K77</f>
        <v>0</v>
      </c>
      <c r="L77" s="39">
        <f>'5. Hasil Prod Ikan'!L77*'6. Isi Harga Ikan'!L77</f>
        <v>0</v>
      </c>
      <c r="M77" s="39">
        <f>'5. Hasil Prod Ikan'!M77*'6. Isi Harga Ikan'!M77</f>
        <v>0</v>
      </c>
      <c r="N77" s="39">
        <f>'5. Hasil Prod Ikan'!N77*'6. Isi Harga Ikan'!N77</f>
        <v>0</v>
      </c>
      <c r="O77" s="39">
        <f>'5. Hasil Prod Ikan'!O77*'6. Isi Harga Ikan'!O77</f>
        <v>0</v>
      </c>
      <c r="P77" s="39">
        <f>'5. Hasil Prod Ikan'!P77*'6. Isi Harga Ikan'!P77</f>
        <v>0</v>
      </c>
      <c r="Q77" s="38">
        <f t="shared" si="4"/>
        <v>0</v>
      </c>
    </row>
    <row r="78" spans="1:17" x14ac:dyDescent="0.2">
      <c r="A78" s="14" t="s">
        <v>31</v>
      </c>
      <c r="B78" s="14" t="s">
        <v>120</v>
      </c>
      <c r="C78" s="39">
        <f>'5. Hasil Prod Ikan'!C78*'6. Isi Harga Ikan'!C78</f>
        <v>0</v>
      </c>
      <c r="D78" s="39">
        <f>'5. Hasil Prod Ikan'!D78*'6. Isi Harga Ikan'!D78</f>
        <v>0</v>
      </c>
      <c r="E78" s="39">
        <f>'5. Hasil Prod Ikan'!E78*'6. Isi Harga Ikan'!E78</f>
        <v>0</v>
      </c>
      <c r="F78" s="39">
        <f>'5. Hasil Prod Ikan'!F78*'6. Isi Harga Ikan'!F78</f>
        <v>0</v>
      </c>
      <c r="G78" s="39">
        <f>'5. Hasil Prod Ikan'!G78*'6. Isi Harga Ikan'!G78</f>
        <v>0</v>
      </c>
      <c r="H78" s="39">
        <f>'5. Hasil Prod Ikan'!H78*'6. Isi Harga Ikan'!H78</f>
        <v>0</v>
      </c>
      <c r="I78" s="39">
        <f>'5. Hasil Prod Ikan'!I78*'6. Isi Harga Ikan'!I78</f>
        <v>0</v>
      </c>
      <c r="J78" s="39">
        <f>'5. Hasil Prod Ikan'!J78*'6. Isi Harga Ikan'!J78</f>
        <v>0</v>
      </c>
      <c r="K78" s="39">
        <f>'5. Hasil Prod Ikan'!K78*'6. Isi Harga Ikan'!K78</f>
        <v>0</v>
      </c>
      <c r="L78" s="39">
        <f>'5. Hasil Prod Ikan'!L78*'6. Isi Harga Ikan'!L78</f>
        <v>0</v>
      </c>
      <c r="M78" s="39">
        <f>'5. Hasil Prod Ikan'!M78*'6. Isi Harga Ikan'!M78</f>
        <v>0</v>
      </c>
      <c r="N78" s="39">
        <f>'5. Hasil Prod Ikan'!N78*'6. Isi Harga Ikan'!N78</f>
        <v>0</v>
      </c>
      <c r="O78" s="39">
        <f>'5. Hasil Prod Ikan'!O78*'6. Isi Harga Ikan'!O78</f>
        <v>0</v>
      </c>
      <c r="P78" s="39">
        <f>'5. Hasil Prod Ikan'!P78*'6. Isi Harga Ikan'!P78</f>
        <v>0</v>
      </c>
      <c r="Q78" s="38">
        <f t="shared" si="4"/>
        <v>0</v>
      </c>
    </row>
    <row r="79" spans="1:17" x14ac:dyDescent="0.2">
      <c r="A79" s="14" t="s">
        <v>31</v>
      </c>
      <c r="B79" s="14" t="s">
        <v>121</v>
      </c>
      <c r="C79" s="39">
        <f>'5. Hasil Prod Ikan'!C79*'6. Isi Harga Ikan'!C79</f>
        <v>0</v>
      </c>
      <c r="D79" s="39">
        <f>'5. Hasil Prod Ikan'!D79*'6. Isi Harga Ikan'!D79</f>
        <v>0</v>
      </c>
      <c r="E79" s="39">
        <f>'5. Hasil Prod Ikan'!E79*'6. Isi Harga Ikan'!E79</f>
        <v>0</v>
      </c>
      <c r="F79" s="39">
        <f>'5. Hasil Prod Ikan'!F79*'6. Isi Harga Ikan'!F79</f>
        <v>0</v>
      </c>
      <c r="G79" s="39">
        <f>'5. Hasil Prod Ikan'!G79*'6. Isi Harga Ikan'!G79</f>
        <v>0</v>
      </c>
      <c r="H79" s="39">
        <f>'5. Hasil Prod Ikan'!H79*'6. Isi Harga Ikan'!H79</f>
        <v>0</v>
      </c>
      <c r="I79" s="39">
        <f>'5. Hasil Prod Ikan'!I79*'6. Isi Harga Ikan'!I79</f>
        <v>0</v>
      </c>
      <c r="J79" s="39">
        <f>'5. Hasil Prod Ikan'!J79*'6. Isi Harga Ikan'!J79</f>
        <v>0</v>
      </c>
      <c r="K79" s="39">
        <f>'5. Hasil Prod Ikan'!K79*'6. Isi Harga Ikan'!K79</f>
        <v>0</v>
      </c>
      <c r="L79" s="39">
        <f>'5. Hasil Prod Ikan'!L79*'6. Isi Harga Ikan'!L79</f>
        <v>0</v>
      </c>
      <c r="M79" s="39">
        <f>'5. Hasil Prod Ikan'!M79*'6. Isi Harga Ikan'!M79</f>
        <v>0</v>
      </c>
      <c r="N79" s="39">
        <f>'5. Hasil Prod Ikan'!N79*'6. Isi Harga Ikan'!N79</f>
        <v>0</v>
      </c>
      <c r="O79" s="39">
        <f>'5. Hasil Prod Ikan'!O79*'6. Isi Harga Ikan'!O79</f>
        <v>0</v>
      </c>
      <c r="P79" s="39">
        <f>'5. Hasil Prod Ikan'!P79*'6. Isi Harga Ikan'!P79</f>
        <v>0</v>
      </c>
      <c r="Q79" s="38">
        <f t="shared" si="4"/>
        <v>0</v>
      </c>
    </row>
    <row r="80" spans="1:17" x14ac:dyDescent="0.2">
      <c r="A80" s="14" t="s">
        <v>31</v>
      </c>
      <c r="B80" s="14" t="s">
        <v>122</v>
      </c>
      <c r="C80" s="39">
        <f>'5. Hasil Prod Ikan'!C80*'6. Isi Harga Ikan'!C80</f>
        <v>0</v>
      </c>
      <c r="D80" s="39">
        <f>'5. Hasil Prod Ikan'!D80*'6. Isi Harga Ikan'!D80</f>
        <v>0</v>
      </c>
      <c r="E80" s="39">
        <f>'5. Hasil Prod Ikan'!E80*'6. Isi Harga Ikan'!E80</f>
        <v>0</v>
      </c>
      <c r="F80" s="39">
        <f>'5. Hasil Prod Ikan'!F80*'6. Isi Harga Ikan'!F80</f>
        <v>0</v>
      </c>
      <c r="G80" s="39">
        <f>'5. Hasil Prod Ikan'!G80*'6. Isi Harga Ikan'!G80</f>
        <v>0</v>
      </c>
      <c r="H80" s="39">
        <f>'5. Hasil Prod Ikan'!H80*'6. Isi Harga Ikan'!H80</f>
        <v>0</v>
      </c>
      <c r="I80" s="39">
        <f>'5. Hasil Prod Ikan'!I80*'6. Isi Harga Ikan'!I80</f>
        <v>0</v>
      </c>
      <c r="J80" s="39">
        <f>'5. Hasil Prod Ikan'!J80*'6. Isi Harga Ikan'!J80</f>
        <v>0</v>
      </c>
      <c r="K80" s="39">
        <f>'5. Hasil Prod Ikan'!K80*'6. Isi Harga Ikan'!K80</f>
        <v>0</v>
      </c>
      <c r="L80" s="39">
        <f>'5. Hasil Prod Ikan'!L80*'6. Isi Harga Ikan'!L80</f>
        <v>0</v>
      </c>
      <c r="M80" s="39">
        <f>'5. Hasil Prod Ikan'!M80*'6. Isi Harga Ikan'!M80</f>
        <v>0</v>
      </c>
      <c r="N80" s="39">
        <f>'5. Hasil Prod Ikan'!N80*'6. Isi Harga Ikan'!N80</f>
        <v>0</v>
      </c>
      <c r="O80" s="39">
        <f>'5. Hasil Prod Ikan'!O80*'6. Isi Harga Ikan'!O80</f>
        <v>0</v>
      </c>
      <c r="P80" s="39">
        <f>'5. Hasil Prod Ikan'!P80*'6. Isi Harga Ikan'!P80</f>
        <v>0</v>
      </c>
      <c r="Q80" s="38">
        <f t="shared" si="4"/>
        <v>0</v>
      </c>
    </row>
    <row r="81" spans="1:17" x14ac:dyDescent="0.2">
      <c r="A81" s="14" t="s">
        <v>31</v>
      </c>
      <c r="B81" s="14" t="s">
        <v>123</v>
      </c>
      <c r="C81" s="39">
        <f>'5. Hasil Prod Ikan'!C81*'6. Isi Harga Ikan'!C81</f>
        <v>0</v>
      </c>
      <c r="D81" s="39">
        <f>'5. Hasil Prod Ikan'!D81*'6. Isi Harga Ikan'!D81</f>
        <v>0</v>
      </c>
      <c r="E81" s="39">
        <f>'5. Hasil Prod Ikan'!E81*'6. Isi Harga Ikan'!E81</f>
        <v>0</v>
      </c>
      <c r="F81" s="39">
        <f>'5. Hasil Prod Ikan'!F81*'6. Isi Harga Ikan'!F81</f>
        <v>0</v>
      </c>
      <c r="G81" s="39">
        <f>'5. Hasil Prod Ikan'!G81*'6. Isi Harga Ikan'!G81</f>
        <v>0</v>
      </c>
      <c r="H81" s="39">
        <f>'5. Hasil Prod Ikan'!H81*'6. Isi Harga Ikan'!H81</f>
        <v>0</v>
      </c>
      <c r="I81" s="39">
        <f>'5. Hasil Prod Ikan'!I81*'6. Isi Harga Ikan'!I81</f>
        <v>0</v>
      </c>
      <c r="J81" s="39">
        <f>'5. Hasil Prod Ikan'!J81*'6. Isi Harga Ikan'!J81</f>
        <v>0</v>
      </c>
      <c r="K81" s="39">
        <f>'5. Hasil Prod Ikan'!K81*'6. Isi Harga Ikan'!K81</f>
        <v>0</v>
      </c>
      <c r="L81" s="39">
        <f>'5. Hasil Prod Ikan'!L81*'6. Isi Harga Ikan'!L81</f>
        <v>0</v>
      </c>
      <c r="M81" s="39">
        <f>'5. Hasil Prod Ikan'!M81*'6. Isi Harga Ikan'!M81</f>
        <v>0</v>
      </c>
      <c r="N81" s="39">
        <f>'5. Hasil Prod Ikan'!N81*'6. Isi Harga Ikan'!N81</f>
        <v>0</v>
      </c>
      <c r="O81" s="39">
        <f>'5. Hasil Prod Ikan'!O81*'6. Isi Harga Ikan'!O81</f>
        <v>0</v>
      </c>
      <c r="P81" s="39">
        <f>'5. Hasil Prod Ikan'!P81*'6. Isi Harga Ikan'!P81</f>
        <v>0</v>
      </c>
      <c r="Q81" s="38">
        <f t="shared" si="4"/>
        <v>0</v>
      </c>
    </row>
    <row r="82" spans="1:17" x14ac:dyDescent="0.2">
      <c r="A82" s="14" t="s">
        <v>31</v>
      </c>
      <c r="B82" s="14" t="s">
        <v>124</v>
      </c>
      <c r="C82" s="39">
        <f>'5. Hasil Prod Ikan'!C82*'6. Isi Harga Ikan'!C82</f>
        <v>0</v>
      </c>
      <c r="D82" s="39">
        <f>'5. Hasil Prod Ikan'!D82*'6. Isi Harga Ikan'!D82</f>
        <v>0</v>
      </c>
      <c r="E82" s="39">
        <f>'5. Hasil Prod Ikan'!E82*'6. Isi Harga Ikan'!E82</f>
        <v>0</v>
      </c>
      <c r="F82" s="39">
        <f>'5. Hasil Prod Ikan'!F82*'6. Isi Harga Ikan'!F82</f>
        <v>0</v>
      </c>
      <c r="G82" s="39">
        <f>'5. Hasil Prod Ikan'!G82*'6. Isi Harga Ikan'!G82</f>
        <v>0</v>
      </c>
      <c r="H82" s="39">
        <f>'5. Hasil Prod Ikan'!H82*'6. Isi Harga Ikan'!H82</f>
        <v>0</v>
      </c>
      <c r="I82" s="39">
        <f>'5. Hasil Prod Ikan'!I82*'6. Isi Harga Ikan'!I82</f>
        <v>0</v>
      </c>
      <c r="J82" s="39">
        <f>'5. Hasil Prod Ikan'!J82*'6. Isi Harga Ikan'!J82</f>
        <v>0</v>
      </c>
      <c r="K82" s="39">
        <f>'5. Hasil Prod Ikan'!K82*'6. Isi Harga Ikan'!K82</f>
        <v>0</v>
      </c>
      <c r="L82" s="39">
        <f>'5. Hasil Prod Ikan'!L82*'6. Isi Harga Ikan'!L82</f>
        <v>0</v>
      </c>
      <c r="M82" s="39">
        <f>'5. Hasil Prod Ikan'!M82*'6. Isi Harga Ikan'!M82</f>
        <v>0</v>
      </c>
      <c r="N82" s="39">
        <f>'5. Hasil Prod Ikan'!N82*'6. Isi Harga Ikan'!N82</f>
        <v>0</v>
      </c>
      <c r="O82" s="39">
        <f>'5. Hasil Prod Ikan'!O82*'6. Isi Harga Ikan'!O82</f>
        <v>0</v>
      </c>
      <c r="P82" s="39">
        <f>'5. Hasil Prod Ikan'!P82*'6. Isi Harga Ikan'!P82</f>
        <v>0</v>
      </c>
      <c r="Q82" s="38">
        <f t="shared" si="4"/>
        <v>0</v>
      </c>
    </row>
    <row r="83" spans="1:17" x14ac:dyDescent="0.2">
      <c r="A83" s="14" t="s">
        <v>31</v>
      </c>
      <c r="B83" s="14" t="s">
        <v>125</v>
      </c>
      <c r="C83" s="39">
        <f>'5. Hasil Prod Ikan'!C83*'6. Isi Harga Ikan'!C83</f>
        <v>0</v>
      </c>
      <c r="D83" s="39">
        <f>'5. Hasil Prod Ikan'!D83*'6. Isi Harga Ikan'!D83</f>
        <v>0</v>
      </c>
      <c r="E83" s="39">
        <f>'5. Hasil Prod Ikan'!E83*'6. Isi Harga Ikan'!E83</f>
        <v>0</v>
      </c>
      <c r="F83" s="39">
        <f>'5. Hasil Prod Ikan'!F83*'6. Isi Harga Ikan'!F83</f>
        <v>0</v>
      </c>
      <c r="G83" s="39">
        <f>'5. Hasil Prod Ikan'!G83*'6. Isi Harga Ikan'!G83</f>
        <v>0</v>
      </c>
      <c r="H83" s="39">
        <f>'5. Hasil Prod Ikan'!H83*'6. Isi Harga Ikan'!H83</f>
        <v>0</v>
      </c>
      <c r="I83" s="39">
        <f>'5. Hasil Prod Ikan'!I83*'6. Isi Harga Ikan'!I83</f>
        <v>0</v>
      </c>
      <c r="J83" s="39">
        <f>'5. Hasil Prod Ikan'!J83*'6. Isi Harga Ikan'!J83</f>
        <v>0</v>
      </c>
      <c r="K83" s="39">
        <f>'5. Hasil Prod Ikan'!K83*'6. Isi Harga Ikan'!K83</f>
        <v>0</v>
      </c>
      <c r="L83" s="39">
        <f>'5. Hasil Prod Ikan'!L83*'6. Isi Harga Ikan'!L83</f>
        <v>0</v>
      </c>
      <c r="M83" s="39">
        <f>'5. Hasil Prod Ikan'!M83*'6. Isi Harga Ikan'!M83</f>
        <v>0</v>
      </c>
      <c r="N83" s="39">
        <f>'5. Hasil Prod Ikan'!N83*'6. Isi Harga Ikan'!N83</f>
        <v>0</v>
      </c>
      <c r="O83" s="39">
        <f>'5. Hasil Prod Ikan'!O83*'6. Isi Harga Ikan'!O83</f>
        <v>0</v>
      </c>
      <c r="P83" s="39">
        <f>'5. Hasil Prod Ikan'!P83*'6. Isi Harga Ikan'!P83</f>
        <v>0</v>
      </c>
      <c r="Q83" s="38">
        <f t="shared" si="4"/>
        <v>0</v>
      </c>
    </row>
    <row r="84" spans="1:17" x14ac:dyDescent="0.2">
      <c r="A84" s="14" t="s">
        <v>31</v>
      </c>
      <c r="B84" s="14" t="s">
        <v>126</v>
      </c>
      <c r="C84" s="39">
        <f>'5. Hasil Prod Ikan'!C84*'6. Isi Harga Ikan'!C84</f>
        <v>0</v>
      </c>
      <c r="D84" s="39">
        <f>'5. Hasil Prod Ikan'!D84*'6. Isi Harga Ikan'!D84</f>
        <v>0</v>
      </c>
      <c r="E84" s="39">
        <f>'5. Hasil Prod Ikan'!E84*'6. Isi Harga Ikan'!E84</f>
        <v>0</v>
      </c>
      <c r="F84" s="39">
        <f>'5. Hasil Prod Ikan'!F84*'6. Isi Harga Ikan'!F84</f>
        <v>0</v>
      </c>
      <c r="G84" s="39">
        <f>'5. Hasil Prod Ikan'!G84*'6. Isi Harga Ikan'!G84</f>
        <v>0</v>
      </c>
      <c r="H84" s="39">
        <f>'5. Hasil Prod Ikan'!H84*'6. Isi Harga Ikan'!H84</f>
        <v>0</v>
      </c>
      <c r="I84" s="39">
        <f>'5. Hasil Prod Ikan'!I84*'6. Isi Harga Ikan'!I84</f>
        <v>0</v>
      </c>
      <c r="J84" s="39">
        <f>'5. Hasil Prod Ikan'!J84*'6. Isi Harga Ikan'!J84</f>
        <v>0</v>
      </c>
      <c r="K84" s="39">
        <f>'5. Hasil Prod Ikan'!K84*'6. Isi Harga Ikan'!K84</f>
        <v>0</v>
      </c>
      <c r="L84" s="39">
        <f>'5. Hasil Prod Ikan'!L84*'6. Isi Harga Ikan'!L84</f>
        <v>0</v>
      </c>
      <c r="M84" s="39">
        <f>'5. Hasil Prod Ikan'!M84*'6. Isi Harga Ikan'!M84</f>
        <v>0</v>
      </c>
      <c r="N84" s="39">
        <f>'5. Hasil Prod Ikan'!N84*'6. Isi Harga Ikan'!N84</f>
        <v>0</v>
      </c>
      <c r="O84" s="39">
        <f>'5. Hasil Prod Ikan'!O84*'6. Isi Harga Ikan'!O84</f>
        <v>0</v>
      </c>
      <c r="P84" s="39">
        <f>'5. Hasil Prod Ikan'!P84*'6. Isi Harga Ikan'!P84</f>
        <v>0</v>
      </c>
      <c r="Q84" s="38">
        <f t="shared" si="4"/>
        <v>0</v>
      </c>
    </row>
    <row r="85" spans="1:17" x14ac:dyDescent="0.2">
      <c r="A85" s="14" t="s">
        <v>31</v>
      </c>
      <c r="B85" s="14" t="s">
        <v>40</v>
      </c>
      <c r="C85" s="39">
        <f>'5. Hasil Prod Ikan'!C85*'6. Isi Harga Ikan'!C85</f>
        <v>0</v>
      </c>
      <c r="D85" s="39">
        <f>'5. Hasil Prod Ikan'!D85*'6. Isi Harga Ikan'!D85</f>
        <v>0</v>
      </c>
      <c r="E85" s="39">
        <f>'5. Hasil Prod Ikan'!E85*'6. Isi Harga Ikan'!E85</f>
        <v>0</v>
      </c>
      <c r="F85" s="39">
        <f>'5. Hasil Prod Ikan'!F85*'6. Isi Harga Ikan'!F85</f>
        <v>0</v>
      </c>
      <c r="G85" s="39">
        <f>'5. Hasil Prod Ikan'!G85*'6. Isi Harga Ikan'!G85</f>
        <v>0</v>
      </c>
      <c r="H85" s="39">
        <f>'5. Hasil Prod Ikan'!H85*'6. Isi Harga Ikan'!H85</f>
        <v>0</v>
      </c>
      <c r="I85" s="39">
        <f>'5. Hasil Prod Ikan'!I85*'6. Isi Harga Ikan'!I85</f>
        <v>0</v>
      </c>
      <c r="J85" s="39">
        <f>'5. Hasil Prod Ikan'!J85*'6. Isi Harga Ikan'!J85</f>
        <v>0</v>
      </c>
      <c r="K85" s="39">
        <f>'5. Hasil Prod Ikan'!K85*'6. Isi Harga Ikan'!K85</f>
        <v>0</v>
      </c>
      <c r="L85" s="39">
        <f>'5. Hasil Prod Ikan'!L85*'6. Isi Harga Ikan'!L85</f>
        <v>0</v>
      </c>
      <c r="M85" s="39">
        <f>'5. Hasil Prod Ikan'!M85*'6. Isi Harga Ikan'!M85</f>
        <v>0</v>
      </c>
      <c r="N85" s="39">
        <f>'5. Hasil Prod Ikan'!N85*'6. Isi Harga Ikan'!N85</f>
        <v>0</v>
      </c>
      <c r="O85" s="39">
        <f>'5. Hasil Prod Ikan'!O85*'6. Isi Harga Ikan'!O85</f>
        <v>0</v>
      </c>
      <c r="P85" s="39">
        <f>'5. Hasil Prod Ikan'!P85*'6. Isi Harga Ikan'!P85</f>
        <v>0</v>
      </c>
      <c r="Q85" s="38">
        <f t="shared" si="4"/>
        <v>0</v>
      </c>
    </row>
    <row r="86" spans="1:17" x14ac:dyDescent="0.2">
      <c r="A86" s="14" t="s">
        <v>31</v>
      </c>
      <c r="B86" s="14" t="s">
        <v>41</v>
      </c>
      <c r="C86" s="39">
        <f>'5. Hasil Prod Ikan'!C86*'6. Isi Harga Ikan'!C86</f>
        <v>0</v>
      </c>
      <c r="D86" s="39">
        <f>'5. Hasil Prod Ikan'!D86*'6. Isi Harga Ikan'!D86</f>
        <v>0</v>
      </c>
      <c r="E86" s="39">
        <f>'5. Hasil Prod Ikan'!E86*'6. Isi Harga Ikan'!E86</f>
        <v>0</v>
      </c>
      <c r="F86" s="39">
        <f>'5. Hasil Prod Ikan'!F86*'6. Isi Harga Ikan'!F86</f>
        <v>0</v>
      </c>
      <c r="G86" s="39">
        <f>'5. Hasil Prod Ikan'!G86*'6. Isi Harga Ikan'!G86</f>
        <v>0</v>
      </c>
      <c r="H86" s="39">
        <f>'5. Hasil Prod Ikan'!H86*'6. Isi Harga Ikan'!H86</f>
        <v>0</v>
      </c>
      <c r="I86" s="39">
        <f>'5. Hasil Prod Ikan'!I86*'6. Isi Harga Ikan'!I86</f>
        <v>0</v>
      </c>
      <c r="J86" s="39">
        <f>'5. Hasil Prod Ikan'!J86*'6. Isi Harga Ikan'!J86</f>
        <v>0</v>
      </c>
      <c r="K86" s="39">
        <f>'5. Hasil Prod Ikan'!K86*'6. Isi Harga Ikan'!K86</f>
        <v>0</v>
      </c>
      <c r="L86" s="39">
        <f>'5. Hasil Prod Ikan'!L86*'6. Isi Harga Ikan'!L86</f>
        <v>0</v>
      </c>
      <c r="M86" s="39">
        <f>'5. Hasil Prod Ikan'!M86*'6. Isi Harga Ikan'!M86</f>
        <v>0</v>
      </c>
      <c r="N86" s="39">
        <f>'5. Hasil Prod Ikan'!N86*'6. Isi Harga Ikan'!N86</f>
        <v>0</v>
      </c>
      <c r="O86" s="39">
        <f>'5. Hasil Prod Ikan'!O86*'6. Isi Harga Ikan'!O86</f>
        <v>0</v>
      </c>
      <c r="P86" s="39">
        <f>'5. Hasil Prod Ikan'!P86*'6. Isi Harga Ikan'!P86</f>
        <v>0</v>
      </c>
      <c r="Q86" s="38">
        <f t="shared" si="4"/>
        <v>0</v>
      </c>
    </row>
    <row r="87" spans="1:17" x14ac:dyDescent="0.2">
      <c r="A87" s="14" t="s">
        <v>31</v>
      </c>
      <c r="B87" s="14" t="s">
        <v>42</v>
      </c>
      <c r="C87" s="39">
        <f>'5. Hasil Prod Ikan'!C87*'6. Isi Harga Ikan'!C87</f>
        <v>0</v>
      </c>
      <c r="D87" s="39">
        <f>'5. Hasil Prod Ikan'!D87*'6. Isi Harga Ikan'!D87</f>
        <v>0</v>
      </c>
      <c r="E87" s="39">
        <f>'5. Hasil Prod Ikan'!E87*'6. Isi Harga Ikan'!E87</f>
        <v>0</v>
      </c>
      <c r="F87" s="39">
        <f>'5. Hasil Prod Ikan'!F87*'6. Isi Harga Ikan'!F87</f>
        <v>0</v>
      </c>
      <c r="G87" s="39">
        <f>'5. Hasil Prod Ikan'!G87*'6. Isi Harga Ikan'!G87</f>
        <v>0</v>
      </c>
      <c r="H87" s="39">
        <f>'5. Hasil Prod Ikan'!H87*'6. Isi Harga Ikan'!H87</f>
        <v>0</v>
      </c>
      <c r="I87" s="39">
        <f>'5. Hasil Prod Ikan'!I87*'6. Isi Harga Ikan'!I87</f>
        <v>0</v>
      </c>
      <c r="J87" s="39">
        <f>'5. Hasil Prod Ikan'!J87*'6. Isi Harga Ikan'!J87</f>
        <v>0</v>
      </c>
      <c r="K87" s="39">
        <f>'5. Hasil Prod Ikan'!K87*'6. Isi Harga Ikan'!K87</f>
        <v>0</v>
      </c>
      <c r="L87" s="39">
        <f>'5. Hasil Prod Ikan'!L87*'6. Isi Harga Ikan'!L87</f>
        <v>0</v>
      </c>
      <c r="M87" s="39">
        <f>'5. Hasil Prod Ikan'!M87*'6. Isi Harga Ikan'!M87</f>
        <v>0</v>
      </c>
      <c r="N87" s="39">
        <f>'5. Hasil Prod Ikan'!N87*'6. Isi Harga Ikan'!N87</f>
        <v>0</v>
      </c>
      <c r="O87" s="39">
        <f>'5. Hasil Prod Ikan'!O87*'6. Isi Harga Ikan'!O87</f>
        <v>0</v>
      </c>
      <c r="P87" s="39">
        <f>'5. Hasil Prod Ikan'!P87*'6. Isi Harga Ikan'!P87</f>
        <v>0</v>
      </c>
      <c r="Q87" s="38">
        <f t="shared" si="4"/>
        <v>0</v>
      </c>
    </row>
  </sheetData>
  <sheetProtection formatColumns="0"/>
  <autoFilter ref="A8:Q37"/>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0. Juknis</vt:lpstr>
      <vt:lpstr>1. Summary</vt:lpstr>
      <vt:lpstr>2. Isi Jumlah RTP</vt:lpstr>
      <vt:lpstr>3. Isi Produksi</vt:lpstr>
      <vt:lpstr>3. Isi Produksi (2)</vt:lpstr>
      <vt:lpstr>4. Isi Produksi Ikan</vt:lpstr>
      <vt:lpstr>5. Hasil Prod Ikan</vt:lpstr>
      <vt:lpstr>6. Isi Harga Ikan</vt:lpstr>
      <vt:lpstr>7. Nilai Prod Ikan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ALFI</dc:creator>
  <cp:lastModifiedBy>ASUS</cp:lastModifiedBy>
  <dcterms:created xsi:type="dcterms:W3CDTF">2018-09-12T08:33:28Z</dcterms:created>
  <dcterms:modified xsi:type="dcterms:W3CDTF">2019-03-04T10:30:36Z</dcterms:modified>
</cp:coreProperties>
</file>